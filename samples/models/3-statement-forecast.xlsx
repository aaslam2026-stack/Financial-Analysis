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Historicals" state="visible" r:id="rId5"/>
    <sheet sheetId="3" name="Forecast" state="visible" r:id="rId6"/>
  </sheets>
  <calcPr calcId="171027" fullCalcOnLoad="1"/>
</workbook>
</file>

<file path=xl/sharedStrings.xml><?xml version="1.0" encoding="utf-8"?>
<sst xmlns="http://schemas.openxmlformats.org/spreadsheetml/2006/main" count="87" uniqueCount="82">
  <si>
    <t>Financial Model: Aurora Retail Co.</t>
  </si>
  <si>
    <t>Prepared with Finance Studio on 10/29/2026</t>
  </si>
  <si>
    <t>Blue = input you can change · Green = linked to Historicals · Black = formula</t>
  </si>
  <si>
    <t>Source data</t>
  </si>
  <si>
    <t>Aurora Retail Co. · 2020–2024 (5 periods)</t>
  </si>
  <si>
    <t>Contents</t>
  </si>
  <si>
    <t>Sheet</t>
  </si>
  <si>
    <t>What it contains</t>
  </si>
  <si>
    <t>Historicals</t>
  </si>
  <si>
    <t>Your uploaded financial statements (the source for linked figures)</t>
  </si>
  <si>
    <t>Forecast</t>
  </si>
  <si>
    <t>3-statement style forecast: P&amp;L, cash and debt</t>
  </si>
  <si>
    <t>How to use this model</t>
  </si>
  <si>
    <t>Input</t>
  </si>
  <si>
    <t>Blue cells are inputs. Change them and every formula updates.</t>
  </si>
  <si>
    <t>Linked</t>
  </si>
  <si>
    <t>Green cells link to the Historicals sheet.</t>
  </si>
  <si>
    <t>Formula</t>
  </si>
  <si>
    <t>Black cells are formulas. Avoid typing over them.</t>
  </si>
  <si>
    <t>Output</t>
  </si>
  <si>
    <t>Shaded cells are key outputs.</t>
  </si>
  <si>
    <t>Models are planning tools based on the data and assumptions provided. They are not investment advice.</t>
  </si>
  <si>
    <t>Historical Financial Statements</t>
  </si>
  <si>
    <t>Aurora Retail Co. · as uploaded</t>
  </si>
  <si>
    <t>Financial statements</t>
  </si>
  <si>
    <t>Line item</t>
  </si>
  <si>
    <t>2020</t>
  </si>
  <si>
    <t>2021</t>
  </si>
  <si>
    <t>2022</t>
  </si>
  <si>
    <t>2023</t>
  </si>
  <si>
    <t>2024</t>
  </si>
  <si>
    <t>Revenue</t>
  </si>
  <si>
    <t>Cost of Goods Sold</t>
  </si>
  <si>
    <t>Gross Profit</t>
  </si>
  <si>
    <t>Operating Expenses</t>
  </si>
  <si>
    <t>EBITDA</t>
  </si>
  <si>
    <t>D&amp;A</t>
  </si>
  <si>
    <t>EBIT</t>
  </si>
  <si>
    <t>Interest Expense</t>
  </si>
  <si>
    <t>Net Income</t>
  </si>
  <si>
    <t>Cash</t>
  </si>
  <si>
    <t>Current Assets</t>
  </si>
  <si>
    <t>Total Assets</t>
  </si>
  <si>
    <t>Current Liabilities</t>
  </si>
  <si>
    <t>Total Liabilities</t>
  </si>
  <si>
    <t>Total Debt</t>
  </si>
  <si>
    <t>Equity</t>
  </si>
  <si>
    <t>CapEx</t>
  </si>
  <si>
    <t>Operating Cash Flow</t>
  </si>
  <si>
    <t>3-Statement Forecast</t>
  </si>
  <si>
    <t>Aurora Retail Co. · projected financials</t>
  </si>
  <si>
    <t>Assumptions</t>
  </si>
  <si>
    <t>Base revenue (last actual year)</t>
  </si>
  <si>
    <t>Revenue growth</t>
  </si>
  <si>
    <t>Gross margin</t>
  </si>
  <si>
    <t>Operating expenses % of revenue</t>
  </si>
  <si>
    <t>D&amp;A % of revenue</t>
  </si>
  <si>
    <t>CapEx % of revenue</t>
  </si>
  <si>
    <t>Opening debt</t>
  </si>
  <si>
    <t>Debt repaid per year</t>
  </si>
  <si>
    <t>Interest rate</t>
  </si>
  <si>
    <t>Opening cash</t>
  </si>
  <si>
    <t>Tax rate</t>
  </si>
  <si>
    <t>Projected financial statements</t>
  </si>
  <si>
    <t/>
  </si>
  <si>
    <t>2024A</t>
  </si>
  <si>
    <t>2025E</t>
  </si>
  <si>
    <t>2026E</t>
  </si>
  <si>
    <t>2027E</t>
  </si>
  <si>
    <t>2028E</t>
  </si>
  <si>
    <t>2029E</t>
  </si>
  <si>
    <t>Gross profit</t>
  </si>
  <si>
    <t>Operating expenses</t>
  </si>
  <si>
    <t>Depreciation &amp; amortization</t>
  </si>
  <si>
    <t>Interest expense</t>
  </si>
  <si>
    <t>Profit before tax</t>
  </si>
  <si>
    <t>Taxes</t>
  </si>
  <si>
    <t>Net income</t>
  </si>
  <si>
    <t>Capital expenditure</t>
  </si>
  <si>
    <t>Debt repayment</t>
  </si>
  <si>
    <t>Closing debt</t>
  </si>
  <si>
    <t>Closing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</si>
</sst>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(#,##0);&quot;–&quot;"/>
    <numFmt numFmtId="165" formatCode="0.0%"/>
  </numFmts>
  <fonts count="12" x14ac:knownFonts="1">
    <font>
      <color theme="1"/>
      <family val="2"/>
      <scheme val="minor"/>
      <sz val="11"/>
      <name val="Calibri"/>
    </font>
    <font>
      <b/>
      <color rgb="FF0B2545"/>
      <sz val="16"/>
    </font>
    <font>
      <i/>
      <color rgb="FF5C6B80"/>
      <sz val="10"/>
    </font>
    <font>
      <i/>
      <color rgb="FF7A8699"/>
      <sz val="9"/>
    </font>
    <font>
      <color rgb="FF14213D"/>
    </font>
    <font>
      <b/>
      <color rgb="FFFFFFFF"/>
    </font>
    <font>
      <b/>
      <color rgb="FF14213D"/>
    </font>
    <font>
      <color rgb="FF0000FF"/>
    </font>
    <font>
      <color rgb="FF00804A"/>
    </font>
    <font>
      <color rgb="FF000000"/>
    </font>
    <font>
      <b/>
      <color rgb="FF0B2545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E9EDF3"/>
      </patternFill>
    </fill>
    <fill>
      <patternFill patternType="solid">
        <fgColor rgb="FFFFF8E1"/>
      </patternFill>
    </fill>
    <fill>
      <patternFill patternType="solid">
        <fgColor rgb="FFDCE6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9AA5B5"/>
      </bottom>
      <diagonal/>
    </border>
    <border>
      <left/>
      <right/>
      <top style="thin">
        <color rgb="FF0B2545"/>
      </top>
      <bottom style="thin">
        <color rgb="FF0B2545"/>
      </bottom>
      <diagonal/>
    </border>
    <border>
      <left/>
      <right/>
      <top style="thin">
        <color rgb="FF9AA5B5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3" borderId="1" xfId="0" applyFont="1" applyFill="1" applyBorder="1"/>
    <xf numFmtId="0" fontId="6" fillId="0" borderId="0" xfId="0" applyFont="1"/>
    <xf numFmtId="0" fontId="7" fillId="4" borderId="0" xfId="0" applyFont="1" applyFill="1"/>
    <xf numFmtId="0" fontId="8" fillId="0" borderId="0" xfId="0" applyFont="1"/>
    <xf numFmtId="0" fontId="9" fillId="0" borderId="0" xfId="0" applyFont="1"/>
    <xf numFmtId="0" fontId="10" fillId="5" borderId="2" xfId="0" applyFont="1" applyFill="1" applyBorder="1"/>
    <xf numFmtId="0" fontId="6" fillId="3" borderId="1" xfId="0" applyFont="1" applyFill="1" applyBorder="1" applyAlignment="1">
      <alignment horizontal="right"/>
    </xf>
    <xf numFmtId="164" fontId="7" fillId="4" borderId="0" xfId="0" applyNumberFormat="1" applyFont="1" applyFill="1"/>
    <xf numFmtId="164" fontId="8" fillId="0" borderId="0" xfId="0" applyNumberFormat="1" applyFont="1"/>
    <xf numFmtId="165" fontId="7" fillId="4" borderId="0" xfId="0" applyNumberFormat="1" applyFont="1" applyFill="1"/>
    <xf numFmtId="164" fontId="0" fillId="0" borderId="0" xfId="0" applyNumberFormat="1"/>
    <xf numFmtId="164" fontId="11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C18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8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5" spans="1:2" x14ac:dyDescent="0.25">
      <c r="A5" s="4" t="s">
        <v>3</v>
      </c>
      <c r="B5" s="4" t="s">
        <v>4</v>
      </c>
    </row>
    <row r="7" spans="1:3" x14ac:dyDescent="0.25">
      <c r="A7" s="5" t="s">
        <v>5</v>
      </c>
      <c r="B7" s="5"/>
      <c r="C7" s="5"/>
    </row>
    <row r="8" spans="1:2" x14ac:dyDescent="0.25">
      <c r="A8" s="6" t="s">
        <v>6</v>
      </c>
      <c r="B8" s="6" t="s">
        <v>7</v>
      </c>
    </row>
    <row r="9" spans="1:2" x14ac:dyDescent="0.25">
      <c r="A9" s="7" t="s">
        <v>8</v>
      </c>
      <c r="B9" s="4" t="s">
        <v>9</v>
      </c>
    </row>
    <row r="10" spans="1:2" x14ac:dyDescent="0.25">
      <c r="A10" s="7" t="s">
        <v>10</v>
      </c>
      <c r="B10" s="4" t="s">
        <v>11</v>
      </c>
    </row>
    <row r="12" spans="1:3" x14ac:dyDescent="0.25">
      <c r="A12" s="5" t="s">
        <v>12</v>
      </c>
      <c r="B12" s="5"/>
      <c r="C12" s="5"/>
    </row>
    <row r="13" spans="1:2" x14ac:dyDescent="0.25">
      <c r="A13" s="8" t="s">
        <v>13</v>
      </c>
      <c r="B13" s="4" t="s">
        <v>14</v>
      </c>
    </row>
    <row r="14" spans="1:2" x14ac:dyDescent="0.25">
      <c r="A14" s="9" t="s">
        <v>15</v>
      </c>
      <c r="B14" s="4" t="s">
        <v>16</v>
      </c>
    </row>
    <row r="15" spans="1:2" x14ac:dyDescent="0.25">
      <c r="A15" s="10" t="s">
        <v>17</v>
      </c>
      <c r="B15" s="4" t="s">
        <v>18</v>
      </c>
    </row>
    <row r="16" spans="1:2" x14ac:dyDescent="0.25">
      <c r="A16" s="11" t="s">
        <v>19</v>
      </c>
      <c r="B16" s="4" t="s">
        <v>20</v>
      </c>
    </row>
    <row r="18" spans="1:1" x14ac:dyDescent="0.25">
      <c r="A18" s="3" t="s">
        <v>21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F24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5" customWidth="1"/>
  </cols>
  <sheetData>
    <row r="1" spans="1:1" x14ac:dyDescent="0.25">
      <c r="A1" s="1" t="s">
        <v>22</v>
      </c>
    </row>
    <row r="2" spans="1:1" x14ac:dyDescent="0.25">
      <c r="A2" s="2" t="s">
        <v>23</v>
      </c>
    </row>
    <row r="3" spans="1:1" x14ac:dyDescent="0.25">
      <c r="A3" s="3" t="s">
        <v>2</v>
      </c>
    </row>
    <row r="5" spans="1:6" x14ac:dyDescent="0.25">
      <c r="A5" s="5" t="s">
        <v>24</v>
      </c>
      <c r="B5" s="5"/>
      <c r="C5" s="5"/>
      <c r="D5" s="5"/>
      <c r="E5" s="5"/>
      <c r="F5" s="5"/>
    </row>
    <row r="6" spans="1:6" x14ac:dyDescent="0.25">
      <c r="A6" s="6" t="s">
        <v>25</v>
      </c>
      <c r="B6" s="12" t="s">
        <v>26</v>
      </c>
      <c r="C6" s="12" t="s">
        <v>27</v>
      </c>
      <c r="D6" s="12" t="s">
        <v>28</v>
      </c>
      <c r="E6" s="12" t="s">
        <v>29</v>
      </c>
      <c r="F6" s="12" t="s">
        <v>30</v>
      </c>
    </row>
    <row r="7" spans="1:6" x14ac:dyDescent="0.25">
      <c r="A7" s="4" t="s">
        <v>31</v>
      </c>
      <c r="B7" s="13">
        <v>8200000</v>
      </c>
      <c r="C7" s="13">
        <v>9100000</v>
      </c>
      <c r="D7" s="13">
        <v>10400000</v>
      </c>
      <c r="E7" s="13">
        <v>11800000</v>
      </c>
      <c r="F7" s="13">
        <v>13100000</v>
      </c>
    </row>
    <row r="8" spans="1:6" x14ac:dyDescent="0.25">
      <c r="A8" s="4" t="s">
        <v>32</v>
      </c>
      <c r="B8" s="13">
        <v>4900000</v>
      </c>
      <c r="C8" s="13">
        <v>5400000</v>
      </c>
      <c r="D8" s="13">
        <v>6100000</v>
      </c>
      <c r="E8" s="13">
        <v>6800000</v>
      </c>
      <c r="F8" s="13">
        <v>7500000</v>
      </c>
    </row>
    <row r="9" spans="1:6" x14ac:dyDescent="0.25">
      <c r="A9" s="4" t="s">
        <v>33</v>
      </c>
      <c r="B9" s="13">
        <v>3300000</v>
      </c>
      <c r="C9" s="13">
        <v>3700000</v>
      </c>
      <c r="D9" s="13">
        <v>4300000</v>
      </c>
      <c r="E9" s="13">
        <v>5000000</v>
      </c>
      <c r="F9" s="13">
        <v>5600000</v>
      </c>
    </row>
    <row r="10" spans="1:6" x14ac:dyDescent="0.25">
      <c r="A10" s="4" t="s">
        <v>34</v>
      </c>
      <c r="B10" s="13">
        <v>1800000</v>
      </c>
      <c r="C10" s="13">
        <v>1950000</v>
      </c>
      <c r="D10" s="13">
        <v>2150000</v>
      </c>
      <c r="E10" s="13">
        <v>2400000</v>
      </c>
      <c r="F10" s="13">
        <v>2600000</v>
      </c>
    </row>
    <row r="11" spans="1:6" x14ac:dyDescent="0.25">
      <c r="A11" s="4" t="s">
        <v>35</v>
      </c>
      <c r="B11" s="13">
        <v>1500000</v>
      </c>
      <c r="C11" s="13">
        <v>1750000</v>
      </c>
      <c r="D11" s="13">
        <v>2150000</v>
      </c>
      <c r="E11" s="13">
        <v>2600000</v>
      </c>
      <c r="F11" s="13">
        <v>3000000</v>
      </c>
    </row>
    <row r="12" spans="1:6" x14ac:dyDescent="0.25">
      <c r="A12" s="4" t="s">
        <v>36</v>
      </c>
      <c r="B12" s="13">
        <v>300000</v>
      </c>
      <c r="C12" s="13">
        <v>330000</v>
      </c>
      <c r="D12" s="13">
        <v>360000</v>
      </c>
      <c r="E12" s="13">
        <v>400000</v>
      </c>
      <c r="F12" s="13">
        <v>440000</v>
      </c>
    </row>
    <row r="13" spans="1:6" x14ac:dyDescent="0.25">
      <c r="A13" s="4" t="s">
        <v>37</v>
      </c>
      <c r="B13" s="13">
        <v>1200000</v>
      </c>
      <c r="C13" s="13">
        <v>1420000</v>
      </c>
      <c r="D13" s="13">
        <v>1790000</v>
      </c>
      <c r="E13" s="13">
        <v>2200000</v>
      </c>
      <c r="F13" s="13">
        <v>2560000</v>
      </c>
    </row>
    <row r="14" spans="1:6" x14ac:dyDescent="0.25">
      <c r="A14" s="4" t="s">
        <v>38</v>
      </c>
      <c r="B14" s="13">
        <v>180000</v>
      </c>
      <c r="C14" s="13">
        <v>170000</v>
      </c>
      <c r="D14" s="13">
        <v>160000</v>
      </c>
      <c r="E14" s="13">
        <v>150000</v>
      </c>
      <c r="F14" s="13">
        <v>140000</v>
      </c>
    </row>
    <row r="15" spans="1:6" x14ac:dyDescent="0.25">
      <c r="A15" s="4" t="s">
        <v>39</v>
      </c>
      <c r="B15" s="13">
        <v>765000</v>
      </c>
      <c r="C15" s="13">
        <v>937500</v>
      </c>
      <c r="D15" s="13">
        <v>1222500</v>
      </c>
      <c r="E15" s="13">
        <v>1537500</v>
      </c>
      <c r="F15" s="13">
        <v>1815000</v>
      </c>
    </row>
    <row r="16" spans="1:6" x14ac:dyDescent="0.25">
      <c r="A16" s="4" t="s">
        <v>40</v>
      </c>
      <c r="B16" s="13">
        <v>900000</v>
      </c>
      <c r="C16" s="13">
        <v>1100000</v>
      </c>
      <c r="D16" s="13">
        <v>1400000</v>
      </c>
      <c r="E16" s="13">
        <v>1800000</v>
      </c>
      <c r="F16" s="13">
        <v>2300000</v>
      </c>
    </row>
    <row r="17" spans="1:6" x14ac:dyDescent="0.25">
      <c r="A17" s="4" t="s">
        <v>41</v>
      </c>
      <c r="B17" s="13">
        <v>3100000</v>
      </c>
      <c r="C17" s="13">
        <v>3500000</v>
      </c>
      <c r="D17" s="13">
        <v>4000000</v>
      </c>
      <c r="E17" s="13">
        <v>4600000</v>
      </c>
      <c r="F17" s="13">
        <v>5300000</v>
      </c>
    </row>
    <row r="18" spans="1:6" x14ac:dyDescent="0.25">
      <c r="A18" s="4" t="s">
        <v>42</v>
      </c>
      <c r="B18" s="13">
        <v>9500000</v>
      </c>
      <c r="C18" s="13">
        <v>10300000</v>
      </c>
      <c r="D18" s="13">
        <v>11400000</v>
      </c>
      <c r="E18" s="13">
        <v>12600000</v>
      </c>
      <c r="F18" s="13">
        <v>14000000</v>
      </c>
    </row>
    <row r="19" spans="1:6" x14ac:dyDescent="0.25">
      <c r="A19" s="4" t="s">
        <v>43</v>
      </c>
      <c r="B19" s="13">
        <v>1900000</v>
      </c>
      <c r="C19" s="13">
        <v>2000000</v>
      </c>
      <c r="D19" s="13">
        <v>2200000</v>
      </c>
      <c r="E19" s="13">
        <v>2400000</v>
      </c>
      <c r="F19" s="13">
        <v>2600000</v>
      </c>
    </row>
    <row r="20" spans="1:6" x14ac:dyDescent="0.25">
      <c r="A20" s="4" t="s">
        <v>44</v>
      </c>
      <c r="B20" s="13">
        <v>5400000</v>
      </c>
      <c r="C20" s="13">
        <v>5400000</v>
      </c>
      <c r="D20" s="13">
        <v>5500000</v>
      </c>
      <c r="E20" s="13">
        <v>5600000</v>
      </c>
      <c r="F20" s="13">
        <v>5800000</v>
      </c>
    </row>
    <row r="21" spans="1:6" x14ac:dyDescent="0.25">
      <c r="A21" s="4" t="s">
        <v>45</v>
      </c>
      <c r="B21" s="13">
        <v>3000000</v>
      </c>
      <c r="C21" s="13">
        <v>2800000</v>
      </c>
      <c r="D21" s="13">
        <v>2600000</v>
      </c>
      <c r="E21" s="13">
        <v>2400000</v>
      </c>
      <c r="F21" s="13">
        <v>2200000</v>
      </c>
    </row>
    <row r="22" spans="1:6" x14ac:dyDescent="0.25">
      <c r="A22" s="4" t="s">
        <v>46</v>
      </c>
      <c r="B22" s="13">
        <v>4100000</v>
      </c>
      <c r="C22" s="13">
        <v>4900000</v>
      </c>
      <c r="D22" s="13">
        <v>5900000</v>
      </c>
      <c r="E22" s="13">
        <v>7000000</v>
      </c>
      <c r="F22" s="13">
        <v>8200000</v>
      </c>
    </row>
    <row r="23" spans="1:6" x14ac:dyDescent="0.25">
      <c r="A23" s="4" t="s">
        <v>47</v>
      </c>
      <c r="B23" s="13">
        <v>450000</v>
      </c>
      <c r="C23" s="13">
        <v>500000</v>
      </c>
      <c r="D23" s="13">
        <v>600000</v>
      </c>
      <c r="E23" s="13">
        <v>700000</v>
      </c>
      <c r="F23" s="13">
        <v>800000</v>
      </c>
    </row>
    <row r="24" spans="1:6" x14ac:dyDescent="0.25">
      <c r="A24" s="4" t="s">
        <v>48</v>
      </c>
      <c r="B24" s="13">
        <v>1200000</v>
      </c>
      <c r="C24" s="13">
        <v>1400000</v>
      </c>
      <c r="D24" s="13">
        <v>1700000</v>
      </c>
      <c r="E24" s="13">
        <v>2000000</v>
      </c>
      <c r="F24" s="13">
        <v>2400000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G33"/>
  <sheetViews>
    <sheetView workbookViewId="0" showGridLines="0"/>
  </sheetViews>
  <sheetFormatPr defaultRowHeight="15" outlineLevelRow="0" outlineLevelCol="0" x14ac:dyDescent="55"/>
  <cols>
    <col min="1" max="1" width="40" customWidth="1"/>
    <col min="2" max="7" width="15" customWidth="1"/>
  </cols>
  <sheetData>
    <row r="1" spans="1:1" x14ac:dyDescent="0.25">
      <c r="A1" s="1" t="s">
        <v>49</v>
      </c>
    </row>
    <row r="2" spans="1:1" x14ac:dyDescent="0.25">
      <c r="A2" s="2" t="s">
        <v>50</v>
      </c>
    </row>
    <row r="3" spans="1:1" x14ac:dyDescent="0.25">
      <c r="A3" s="3" t="s">
        <v>2</v>
      </c>
    </row>
    <row r="5" spans="1:7" x14ac:dyDescent="0.25">
      <c r="A5" s="5" t="s">
        <v>51</v>
      </c>
      <c r="B5" s="5"/>
      <c r="C5" s="5"/>
      <c r="D5" s="5"/>
      <c r="E5" s="5"/>
      <c r="F5" s="5"/>
      <c r="G5" s="5"/>
    </row>
    <row r="6" spans="1:2" x14ac:dyDescent="0.25">
      <c r="A6" s="4" t="s">
        <v>52</v>
      </c>
      <c r="B6" s="14">
        <f>Historicals!$F$7</f>
        <v>13100000</v>
      </c>
    </row>
    <row r="7" spans="1:2" x14ac:dyDescent="0.25">
      <c r="A7" s="4" t="s">
        <v>53</v>
      </c>
      <c r="B7" s="15">
        <v>0.124</v>
      </c>
    </row>
    <row r="8" spans="1:2" x14ac:dyDescent="0.25">
      <c r="A8" s="4" t="s">
        <v>54</v>
      </c>
      <c r="B8" s="15">
        <v>0.42700000000000005</v>
      </c>
    </row>
    <row r="9" spans="1:2" x14ac:dyDescent="0.25">
      <c r="A9" s="4" t="s">
        <v>55</v>
      </c>
      <c r="B9" s="15">
        <v>0.198</v>
      </c>
    </row>
    <row r="10" spans="1:2" x14ac:dyDescent="0.25">
      <c r="A10" s="4" t="s">
        <v>56</v>
      </c>
      <c r="B10" s="15">
        <v>0.034</v>
      </c>
    </row>
    <row r="11" spans="1:2" x14ac:dyDescent="0.25">
      <c r="A11" s="4" t="s">
        <v>57</v>
      </c>
      <c r="B11" s="15">
        <v>0.061</v>
      </c>
    </row>
    <row r="12" spans="1:2" x14ac:dyDescent="0.25">
      <c r="A12" s="4" t="s">
        <v>58</v>
      </c>
      <c r="B12" s="14">
        <f>Historicals!$F$21</f>
        <v>2200000</v>
      </c>
    </row>
    <row r="13" spans="1:2" x14ac:dyDescent="0.25">
      <c r="A13" s="4" t="s">
        <v>59</v>
      </c>
      <c r="B13" s="13">
        <v>220000</v>
      </c>
    </row>
    <row r="14" spans="1:2" x14ac:dyDescent="0.25">
      <c r="A14" s="4" t="s">
        <v>60</v>
      </c>
      <c r="B14" s="15">
        <v>0.064</v>
      </c>
    </row>
    <row r="15" spans="1:2" x14ac:dyDescent="0.25">
      <c r="A15" s="4" t="s">
        <v>61</v>
      </c>
      <c r="B15" s="14">
        <f>Historicals!$F$16</f>
        <v>2300000</v>
      </c>
    </row>
    <row r="16" spans="1:2" x14ac:dyDescent="0.25">
      <c r="A16" s="4" t="s">
        <v>62</v>
      </c>
      <c r="B16" s="15">
        <v>0.25</v>
      </c>
    </row>
    <row r="18" spans="1:7" x14ac:dyDescent="0.25">
      <c r="A18" s="5" t="s">
        <v>63</v>
      </c>
      <c r="B18" s="5"/>
      <c r="C18" s="5"/>
      <c r="D18" s="5"/>
      <c r="E18" s="5"/>
      <c r="F18" s="5"/>
      <c r="G18" s="5"/>
    </row>
    <row r="19" spans="1:7" x14ac:dyDescent="0.25">
      <c r="A19" s="6" t="s">
        <v>64</v>
      </c>
      <c r="B19" s="12" t="s">
        <v>65</v>
      </c>
      <c r="C19" s="12" t="s">
        <v>66</v>
      </c>
      <c r="D19" s="12" t="s">
        <v>67</v>
      </c>
      <c r="E19" s="12" t="s">
        <v>68</v>
      </c>
      <c r="F19" s="12" t="s">
        <v>69</v>
      </c>
      <c r="G19" s="12" t="s">
        <v>70</v>
      </c>
    </row>
    <row r="20" spans="1:7" x14ac:dyDescent="0.25">
      <c r="A20" s="4" t="s">
        <v>31</v>
      </c>
      <c r="B20" s="16">
        <f>$B$6</f>
        <v>13100000</v>
      </c>
      <c r="C20" s="16">
        <f>B20*(1+$B$7)</f>
        <v>14724400.000000002</v>
      </c>
      <c r="D20" s="16">
        <f>C20*(1+$B$7)</f>
        <v>16550225.600000003</v>
      </c>
      <c r="E20" s="16">
        <f>D20*(1+$B$7)</f>
        <v>18602453.574400004</v>
      </c>
      <c r="F20" s="16">
        <f>E20*(1+$B$7)</f>
        <v>20909157.81762561</v>
      </c>
      <c r="G20" s="16">
        <f>F20*(1+$B$7)</f>
        <v>23501893.387011185</v>
      </c>
    </row>
    <row r="21" spans="1:7" x14ac:dyDescent="0.25">
      <c r="A21" s="4" t="s">
        <v>71</v>
      </c>
      <c r="C21" s="16">
        <f>C20*$B$8</f>
        <v>6287318.800000002</v>
      </c>
      <c r="D21" s="16">
        <f>D20*$B$8</f>
        <v>7066946.331200002</v>
      </c>
      <c r="E21" s="16">
        <f>E20*$B$8</f>
        <v>7943247.676268803</v>
      </c>
      <c r="F21" s="16">
        <f>F20*$B$8</f>
        <v>8928210.388126135</v>
      </c>
      <c r="G21" s="16">
        <f>G20*$B$8</f>
        <v>10035308.476253778</v>
      </c>
    </row>
    <row r="22" spans="1:7" x14ac:dyDescent="0.25">
      <c r="A22" s="4" t="s">
        <v>72</v>
      </c>
      <c r="C22" s="16">
        <f>C20*$B$9</f>
        <v>2915431.2000000007</v>
      </c>
      <c r="D22" s="16">
        <f>D20*$B$9</f>
        <v>3276944.668800001</v>
      </c>
      <c r="E22" s="16">
        <f>E20*$B$9</f>
        <v>3683285.807731201</v>
      </c>
      <c r="F22" s="16">
        <f>F20*$B$9</f>
        <v>4140013.247889871</v>
      </c>
      <c r="G22" s="16">
        <f>G20*$B$9</f>
        <v>4653374.890628215</v>
      </c>
    </row>
    <row r="23" spans="1:7" x14ac:dyDescent="0.25">
      <c r="A23" s="7" t="s">
        <v>35</v>
      </c>
      <c r="C23" s="17">
        <f>C21-C22</f>
        <v>3371887.600000001</v>
      </c>
      <c r="D23" s="17">
        <f>D21-D22</f>
        <v>3790001.6624000007</v>
      </c>
      <c r="E23" s="17">
        <f>E21-E22</f>
        <v>4259961.868537602</v>
      </c>
      <c r="F23" s="17">
        <f>F21-F22</f>
        <v>4788197.140236264</v>
      </c>
      <c r="G23" s="17">
        <f>G21-G22</f>
        <v>5381933.585625563</v>
      </c>
    </row>
    <row r="24" spans="1:7" x14ac:dyDescent="0.25">
      <c r="A24" s="4" t="s">
        <v>73</v>
      </c>
      <c r="C24" s="16">
        <f>C20*$B$10</f>
        <v>500629.6000000001</v>
      </c>
      <c r="D24" s="16">
        <f>D20*$B$10</f>
        <v>562707.6704000002</v>
      </c>
      <c r="E24" s="16">
        <f>E20*$B$10</f>
        <v>632483.4215296002</v>
      </c>
      <c r="F24" s="16">
        <f>F20*$B$10</f>
        <v>710911.3657992707</v>
      </c>
      <c r="G24" s="16">
        <f>G20*$B$10</f>
        <v>799064.3751583804</v>
      </c>
    </row>
    <row r="25" spans="1:7" x14ac:dyDescent="0.25">
      <c r="A25" s="4" t="s">
        <v>37</v>
      </c>
      <c r="C25" s="16">
        <f>C23-C24</f>
        <v>2871258.000000001</v>
      </c>
      <c r="D25" s="16">
        <f>D23-D24</f>
        <v>3227293.9920000006</v>
      </c>
      <c r="E25" s="16">
        <f>E23-E24</f>
        <v>3627478.4470080016</v>
      </c>
      <c r="F25" s="16">
        <f>F23-F24</f>
        <v>4077285.7744369935</v>
      </c>
      <c r="G25" s="16">
        <f>G23-G24</f>
        <v>4582869.210467182</v>
      </c>
    </row>
    <row r="26" spans="1:7" x14ac:dyDescent="0.25">
      <c r="A26" s="4" t="s">
        <v>74</v>
      </c>
      <c r="C26" s="16">
        <f>B32*$B$14</f>
        <v>140800</v>
      </c>
      <c r="D26" s="16">
        <f>C32*$B$14</f>
        <v>126720</v>
      </c>
      <c r="E26" s="16">
        <f>D32*$B$14</f>
        <v>112640</v>
      </c>
      <c r="F26" s="16">
        <f>E32*$B$14</f>
        <v>98560</v>
      </c>
      <c r="G26" s="16">
        <f>F32*$B$14</f>
        <v>84480</v>
      </c>
    </row>
    <row r="27" spans="1:7" x14ac:dyDescent="0.25">
      <c r="A27" s="4" t="s">
        <v>75</v>
      </c>
      <c r="C27" s="16">
        <f>C25-C26</f>
        <v>2730458.000000001</v>
      </c>
      <c r="D27" s="16">
        <f>D25-D26</f>
        <v>3100573.9920000006</v>
      </c>
      <c r="E27" s="16">
        <f>E25-E26</f>
        <v>3514838.4470080016</v>
      </c>
      <c r="F27" s="16">
        <f>F25-F26</f>
        <v>3978725.7744369935</v>
      </c>
      <c r="G27" s="16">
        <f>G25-G26</f>
        <v>4498389.210467182</v>
      </c>
    </row>
    <row r="28" spans="1:7" x14ac:dyDescent="0.25">
      <c r="A28" s="4" t="s">
        <v>76</v>
      </c>
      <c r="C28" s="16">
        <f>MAX(0,C27*$B$16)</f>
        <v>682614.5000000002</v>
      </c>
      <c r="D28" s="16">
        <f>MAX(0,D27*$B$16)</f>
        <v>775143.4980000001</v>
      </c>
      <c r="E28" s="16">
        <f>MAX(0,E27*$B$16)</f>
        <v>878709.6117520004</v>
      </c>
      <c r="F28" s="16">
        <f>MAX(0,F27*$B$16)</f>
        <v>994681.4436092484</v>
      </c>
      <c r="G28" s="16">
        <f>MAX(0,G27*$B$16)</f>
        <v>1124597.3026167955</v>
      </c>
    </row>
    <row r="29" spans="1:7" x14ac:dyDescent="0.25">
      <c r="A29" s="7" t="s">
        <v>77</v>
      </c>
      <c r="C29" s="17">
        <f>C27-C28</f>
        <v>2047843.5000000007</v>
      </c>
      <c r="D29" s="17">
        <f>D27-D28</f>
        <v>2325430.4940000004</v>
      </c>
      <c r="E29" s="17">
        <f>E27-E28</f>
        <v>2636128.835256001</v>
      </c>
      <c r="F29" s="17">
        <f>F27-F28</f>
        <v>2984044.330827745</v>
      </c>
      <c r="G29" s="17">
        <f>G27-G28</f>
        <v>3373791.9078503866</v>
      </c>
    </row>
    <row r="30" spans="1:7" x14ac:dyDescent="0.25">
      <c r="A30" s="4" t="s">
        <v>78</v>
      </c>
      <c r="C30" s="16">
        <f>C20*$B$11</f>
        <v>898188.4000000001</v>
      </c>
      <c r="D30" s="16">
        <f>D20*$B$11</f>
        <v>1009563.7616000002</v>
      </c>
      <c r="E30" s="16">
        <f>E20*$B$11</f>
        <v>1134749.6680384001</v>
      </c>
      <c r="F30" s="16">
        <f>F20*$B$11</f>
        <v>1275458.6268751621</v>
      </c>
      <c r="G30" s="16">
        <f>G20*$B$11</f>
        <v>1433615.4966076822</v>
      </c>
    </row>
    <row r="31" spans="1:7" x14ac:dyDescent="0.25">
      <c r="A31" s="4" t="s">
        <v>79</v>
      </c>
      <c r="C31" s="16">
        <f>MIN(B32,$B$13)</f>
        <v>220000</v>
      </c>
      <c r="D31" s="16">
        <f>MIN(C32,$B$13)</f>
        <v>220000</v>
      </c>
      <c r="E31" s="16">
        <f>MIN(D32,$B$13)</f>
        <v>220000</v>
      </c>
      <c r="F31" s="16">
        <f>MIN(E32,$B$13)</f>
        <v>220000</v>
      </c>
      <c r="G31" s="16">
        <f>MIN(F32,$B$13)</f>
        <v>220000</v>
      </c>
    </row>
    <row r="32" spans="1:7" x14ac:dyDescent="0.25">
      <c r="A32" s="4" t="s">
        <v>80</v>
      </c>
      <c r="B32" s="16">
        <f>$B$12</f>
        <v>2200000</v>
      </c>
      <c r="C32" s="16">
        <f>B32-C31</f>
        <v>1980000</v>
      </c>
      <c r="D32" s="16">
        <f>C32-D31</f>
        <v>1760000</v>
      </c>
      <c r="E32" s="16">
        <f>D32-E31</f>
        <v>1540000</v>
      </c>
      <c r="F32" s="16">
        <f>E32-F31</f>
        <v>1320000</v>
      </c>
      <c r="G32" s="16">
        <f>F32-G31</f>
        <v>1100000</v>
      </c>
    </row>
    <row r="33" spans="1:7" x14ac:dyDescent="0.25">
      <c r="A33" s="7" t="s">
        <v>81</v>
      </c>
      <c r="B33" s="16">
        <f>$B$15</f>
        <v>2300000</v>
      </c>
      <c r="C33" s="17">
        <f>B33+C29+C24-C30-C31</f>
        <v>3730284.700000001</v>
      </c>
      <c r="D33" s="17">
        <f>C33+D29+D24-D30-D31</f>
        <v>5388859.102800002</v>
      </c>
      <c r="E33" s="17">
        <f>D33+E29+E24-E30-E31</f>
        <v>7302721.691547204</v>
      </c>
      <c r="F33" s="17">
        <f>E33+F29+F24-F30-F31</f>
        <v>9502218.761299057</v>
      </c>
      <c r="G33" s="17">
        <f>F33+G29+G24-G30-G31</f>
        <v>12021459.547700142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Historicals</vt:lpstr>
      <vt:lpstr>Forecast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Studio</dc:creator>
  <dc:title/>
  <dc:subject/>
  <dc:description/>
  <cp:keywords/>
  <cp:category/>
  <cp:lastModifiedBy>Unknown</cp:lastModifiedBy>
  <dcterms:created xsi:type="dcterms:W3CDTF">2026-10-29T16:47:46Z</dcterms:created>
  <dcterms:modified xsi:type="dcterms:W3CDTF">2026-10-29T16:47:46Z</dcterms:modified>
</cp:coreProperties>
</file>