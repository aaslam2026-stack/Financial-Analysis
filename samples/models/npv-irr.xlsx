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Historicals" state="visible" r:id="rId5"/>
    <sheet sheetId="3" name="NPV_IRR" state="visible" r:id="rId6"/>
  </sheets>
  <calcPr calcId="171027" fullCalcOnLoad="1"/>
</workbook>
</file>

<file path=xl/sharedStrings.xml><?xml version="1.0" encoding="utf-8"?>
<sst xmlns="http://schemas.openxmlformats.org/spreadsheetml/2006/main" count="79" uniqueCount="77">
  <si>
    <t>Financial Model: Aurora Retail Co.</t>
  </si>
  <si>
    <t>Prepared with Finance Studio on 10/29/2026</t>
  </si>
  <si>
    <t>Blue = input you can change · Green = linked to Historicals · Black = formula</t>
  </si>
  <si>
    <t>Source data</t>
  </si>
  <si>
    <t>Aurora Retail Co. · 2020–2024 (5 periods)</t>
  </si>
  <si>
    <t>Contents</t>
  </si>
  <si>
    <t>Sheet</t>
  </si>
  <si>
    <t>What it contains</t>
  </si>
  <si>
    <t>Historicals</t>
  </si>
  <si>
    <t>Your uploaded financial statements (the source for linked figures)</t>
  </si>
  <si>
    <t>NPV_IRR</t>
  </si>
  <si>
    <t>Investment appraisal: NPV, IRR, MIRR, payback</t>
  </si>
  <si>
    <t>How to use this model</t>
  </si>
  <si>
    <t>Input</t>
  </si>
  <si>
    <t>Blue cells are inputs. Change them and every formula updates.</t>
  </si>
  <si>
    <t>Linked</t>
  </si>
  <si>
    <t>Green cells link to the Historicals sheet.</t>
  </si>
  <si>
    <t>Formula</t>
  </si>
  <si>
    <t>Black cells are formulas. Avoid typing over them.</t>
  </si>
  <si>
    <t>Output</t>
  </si>
  <si>
    <t>Shaded cells are key outputs.</t>
  </si>
  <si>
    <t>Models are planning tools based on the data and assumptions provided. They are not investment advice.</t>
  </si>
  <si>
    <t>Historical Financial Statements</t>
  </si>
  <si>
    <t>Aurora Retail Co. · as uploaded</t>
  </si>
  <si>
    <t>Financial statements</t>
  </si>
  <si>
    <t>Line item</t>
  </si>
  <si>
    <t>2020</t>
  </si>
  <si>
    <t>2021</t>
  </si>
  <si>
    <t>2022</t>
  </si>
  <si>
    <t>2023</t>
  </si>
  <si>
    <t>2024</t>
  </si>
  <si>
    <t>Revenue</t>
  </si>
  <si>
    <t>Cost of Goods Sold</t>
  </si>
  <si>
    <t>Gross Profit</t>
  </si>
  <si>
    <t>Operating Expenses</t>
  </si>
  <si>
    <t>EBITDA</t>
  </si>
  <si>
    <t>D&amp;A</t>
  </si>
  <si>
    <t>EBIT</t>
  </si>
  <si>
    <t>Interest Expense</t>
  </si>
  <si>
    <t>Net Income</t>
  </si>
  <si>
    <t>Cash</t>
  </si>
  <si>
    <t>Current Assets</t>
  </si>
  <si>
    <t>Total Assets</t>
  </si>
  <si>
    <t>Current Liabilities</t>
  </si>
  <si>
    <t>Total Liabilities</t>
  </si>
  <si>
    <t>Total Debt</t>
  </si>
  <si>
    <t>Equity</t>
  </si>
  <si>
    <t>CapEx</t>
  </si>
  <si>
    <t>Operating Cash Flow</t>
  </si>
  <si>
    <t>NPV / IRR Investment Appraisal</t>
  </si>
  <si>
    <t>Aurora Retail Co. · project returns</t>
  </si>
  <si>
    <t>Assumptions</t>
  </si>
  <si>
    <t>Initial investment</t>
  </si>
  <si>
    <t>Discount rate</t>
  </si>
  <si>
    <t>Reinvestment rate (MIRR)</t>
  </si>
  <si>
    <t>Cash flows (enter yearly cash flows in blue)</t>
  </si>
  <si>
    <t/>
  </si>
  <si>
    <t>Year 0</t>
  </si>
  <si>
    <t>Year 1</t>
  </si>
  <si>
    <t>Year 2</t>
  </si>
  <si>
    <t>Year 3</t>
  </si>
  <si>
    <t>Year 4</t>
  </si>
  <si>
    <t>Year 5</t>
  </si>
  <si>
    <t>Cash flow</t>
  </si>
  <si>
    <t>Discount factor</t>
  </si>
  <si>
    <t>Discounted cash flow</t>
  </si>
  <si>
    <t>Cumulative cash flow</t>
  </si>
  <si>
    <t>Cumulative discounted cash flow</t>
  </si>
  <si>
    <t>Payback (helper)</t>
  </si>
  <si>
    <t>Discounted payback (helper)</t>
  </si>
  <si>
    <t>Results</t>
  </si>
  <si>
    <t>Net present value (NPV)</t>
  </si>
  <si>
    <t>Internal rate of return (IRR)</t>
  </si>
  <si>
    <t>Modified IRR (MIRR)</t>
  </si>
  <si>
    <t>Payback period</t>
  </si>
  <si>
    <t>Discounted payback period</t>
  </si>
  <si>
    <t>Profitability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</si>
</sst>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(#,##0);&quot;–&quot;"/>
    <numFmt numFmtId="165" formatCode="0.0%"/>
    <numFmt numFmtId="166" formatCode="0.0000"/>
    <numFmt numFmtId="167" formatCode="0.0 &quot;yrs&quot;"/>
    <numFmt numFmtId="168" formatCode="0.00&quot;x&quot;"/>
  </numFmts>
  <fonts count="11" x14ac:knownFonts="1">
    <font>
      <color theme="1"/>
      <family val="2"/>
      <scheme val="minor"/>
      <sz val="11"/>
      <name val="Calibri"/>
    </font>
    <font>
      <b/>
      <color rgb="FF0B2545"/>
      <sz val="16"/>
    </font>
    <font>
      <i/>
      <color rgb="FF5C6B80"/>
      <sz val="10"/>
    </font>
    <font>
      <i/>
      <color rgb="FF7A8699"/>
      <sz val="9"/>
    </font>
    <font>
      <color rgb="FF14213D"/>
    </font>
    <font>
      <b/>
      <color rgb="FFFFFFFF"/>
    </font>
    <font>
      <b/>
      <color rgb="FF14213D"/>
    </font>
    <font>
      <color rgb="FF0000FF"/>
    </font>
    <font>
      <color rgb="FF00804A"/>
    </font>
    <font>
      <color rgb="FF000000"/>
    </font>
    <font>
      <b/>
      <color rgb="FF0B2545"/>
    </font>
  </fonts>
  <fills count="6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E9EDF3"/>
      </patternFill>
    </fill>
    <fill>
      <patternFill patternType="solid">
        <fgColor rgb="FFFFF8E1"/>
      </patternFill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9AA5B5"/>
      </bottom>
      <diagonal/>
    </border>
    <border>
      <left/>
      <right/>
      <top style="thin">
        <color rgb="FF0B2545"/>
      </top>
      <bottom style="thin">
        <color rgb="FF0B254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1" xfId="0" applyFont="1" applyFill="1" applyBorder="1"/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9" fillId="0" borderId="0" xfId="0" applyFont="1"/>
    <xf numFmtId="0" fontId="10" fillId="5" borderId="2" xfId="0" applyFont="1" applyFill="1" applyBorder="1"/>
    <xf numFmtId="0" fontId="6" fillId="3" borderId="1" xfId="0" applyFont="1" applyFill="1" applyBorder="1" applyAlignment="1">
      <alignment horizontal="right"/>
    </xf>
    <xf numFmtId="164" fontId="7" fillId="4" borderId="0" xfId="0" applyNumberFormat="1" applyFont="1" applyFill="1"/>
    <xf numFmtId="165" fontId="7" fillId="4" borderId="0" xfId="0" applyNumberFormat="1" applyFont="1" applyFill="1"/>
    <xf numFmtId="164" fontId="0" fillId="0" borderId="0" xfId="0" applyNumberFormat="1"/>
    <xf numFmtId="166" fontId="0" fillId="0" borderId="0" xfId="0" applyNumberFormat="1"/>
    <xf numFmtId="2" fontId="3" fillId="0" borderId="0" xfId="0" applyNumberFormat="1" applyFont="1"/>
    <xf numFmtId="164" fontId="10" fillId="5" borderId="2" xfId="0" applyNumberFormat="1" applyFont="1" applyFill="1" applyBorder="1"/>
    <xf numFmtId="165" fontId="10" fillId="5" borderId="2" xfId="0" applyNumberFormat="1" applyFont="1" applyFill="1" applyBorder="1"/>
    <xf numFmtId="167" fontId="10" fillId="5" borderId="2" xfId="0" applyNumberFormat="1" applyFont="1" applyFill="1" applyBorder="1"/>
    <xf numFmtId="168" fontId="10" fillId="5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C18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8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5" spans="1:2" x14ac:dyDescent="0.25">
      <c r="A5" s="4" t="s">
        <v>3</v>
      </c>
      <c r="B5" s="4" t="s">
        <v>4</v>
      </c>
    </row>
    <row r="7" spans="1:3" x14ac:dyDescent="0.25">
      <c r="A7" s="5" t="s">
        <v>5</v>
      </c>
      <c r="B7" s="5"/>
      <c r="C7" s="5"/>
    </row>
    <row r="8" spans="1:2" x14ac:dyDescent="0.25">
      <c r="A8" s="6" t="s">
        <v>6</v>
      </c>
      <c r="B8" s="6" t="s">
        <v>7</v>
      </c>
    </row>
    <row r="9" spans="1:2" x14ac:dyDescent="0.25">
      <c r="A9" s="7" t="s">
        <v>8</v>
      </c>
      <c r="B9" s="4" t="s">
        <v>9</v>
      </c>
    </row>
    <row r="10" spans="1:2" x14ac:dyDescent="0.25">
      <c r="A10" s="7" t="s">
        <v>10</v>
      </c>
      <c r="B10" s="4" t="s">
        <v>11</v>
      </c>
    </row>
    <row r="12" spans="1:3" x14ac:dyDescent="0.25">
      <c r="A12" s="5" t="s">
        <v>12</v>
      </c>
      <c r="B12" s="5"/>
      <c r="C12" s="5"/>
    </row>
    <row r="13" spans="1:2" x14ac:dyDescent="0.25">
      <c r="A13" s="8" t="s">
        <v>13</v>
      </c>
      <c r="B13" s="4" t="s">
        <v>14</v>
      </c>
    </row>
    <row r="14" spans="1:2" x14ac:dyDescent="0.25">
      <c r="A14" s="9" t="s">
        <v>15</v>
      </c>
      <c r="B14" s="4" t="s">
        <v>16</v>
      </c>
    </row>
    <row r="15" spans="1:2" x14ac:dyDescent="0.25">
      <c r="A15" s="10" t="s">
        <v>17</v>
      </c>
      <c r="B15" s="4" t="s">
        <v>18</v>
      </c>
    </row>
    <row r="16" spans="1:2" x14ac:dyDescent="0.25">
      <c r="A16" s="11" t="s">
        <v>19</v>
      </c>
      <c r="B16" s="4" t="s">
        <v>20</v>
      </c>
    </row>
    <row r="18" spans="1:1" x14ac:dyDescent="0.25">
      <c r="A18" s="3" t="s">
        <v>21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F24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5" customWidth="1"/>
  </cols>
  <sheetData>
    <row r="1" spans="1:1" x14ac:dyDescent="0.25">
      <c r="A1" s="1" t="s">
        <v>22</v>
      </c>
    </row>
    <row r="2" spans="1:1" x14ac:dyDescent="0.25">
      <c r="A2" s="2" t="s">
        <v>23</v>
      </c>
    </row>
    <row r="3" spans="1:1" x14ac:dyDescent="0.25">
      <c r="A3" s="3" t="s">
        <v>2</v>
      </c>
    </row>
    <row r="5" spans="1:6" x14ac:dyDescent="0.25">
      <c r="A5" s="5" t="s">
        <v>24</v>
      </c>
      <c r="B5" s="5"/>
      <c r="C5" s="5"/>
      <c r="D5" s="5"/>
      <c r="E5" s="5"/>
      <c r="F5" s="5"/>
    </row>
    <row r="6" spans="1:6" x14ac:dyDescent="0.25">
      <c r="A6" s="6" t="s">
        <v>25</v>
      </c>
      <c r="B6" s="12" t="s">
        <v>26</v>
      </c>
      <c r="C6" s="12" t="s">
        <v>27</v>
      </c>
      <c r="D6" s="12" t="s">
        <v>28</v>
      </c>
      <c r="E6" s="12" t="s">
        <v>29</v>
      </c>
      <c r="F6" s="12" t="s">
        <v>30</v>
      </c>
    </row>
    <row r="7" spans="1:6" x14ac:dyDescent="0.25">
      <c r="A7" s="4" t="s">
        <v>31</v>
      </c>
      <c r="B7" s="13">
        <v>8200000</v>
      </c>
      <c r="C7" s="13">
        <v>9100000</v>
      </c>
      <c r="D7" s="13">
        <v>10400000</v>
      </c>
      <c r="E7" s="13">
        <v>11800000</v>
      </c>
      <c r="F7" s="13">
        <v>13100000</v>
      </c>
    </row>
    <row r="8" spans="1:6" x14ac:dyDescent="0.25">
      <c r="A8" s="4" t="s">
        <v>32</v>
      </c>
      <c r="B8" s="13">
        <v>4900000</v>
      </c>
      <c r="C8" s="13">
        <v>5400000</v>
      </c>
      <c r="D8" s="13">
        <v>6100000</v>
      </c>
      <c r="E8" s="13">
        <v>6800000</v>
      </c>
      <c r="F8" s="13">
        <v>7500000</v>
      </c>
    </row>
    <row r="9" spans="1:6" x14ac:dyDescent="0.25">
      <c r="A9" s="4" t="s">
        <v>33</v>
      </c>
      <c r="B9" s="13">
        <v>3300000</v>
      </c>
      <c r="C9" s="13">
        <v>3700000</v>
      </c>
      <c r="D9" s="13">
        <v>4300000</v>
      </c>
      <c r="E9" s="13">
        <v>5000000</v>
      </c>
      <c r="F9" s="13">
        <v>5600000</v>
      </c>
    </row>
    <row r="10" spans="1:6" x14ac:dyDescent="0.25">
      <c r="A10" s="4" t="s">
        <v>34</v>
      </c>
      <c r="B10" s="13">
        <v>1800000</v>
      </c>
      <c r="C10" s="13">
        <v>1950000</v>
      </c>
      <c r="D10" s="13">
        <v>2150000</v>
      </c>
      <c r="E10" s="13">
        <v>2400000</v>
      </c>
      <c r="F10" s="13">
        <v>2600000</v>
      </c>
    </row>
    <row r="11" spans="1:6" x14ac:dyDescent="0.25">
      <c r="A11" s="4" t="s">
        <v>35</v>
      </c>
      <c r="B11" s="13">
        <v>1500000</v>
      </c>
      <c r="C11" s="13">
        <v>1750000</v>
      </c>
      <c r="D11" s="13">
        <v>2150000</v>
      </c>
      <c r="E11" s="13">
        <v>2600000</v>
      </c>
      <c r="F11" s="13">
        <v>3000000</v>
      </c>
    </row>
    <row r="12" spans="1:6" x14ac:dyDescent="0.25">
      <c r="A12" s="4" t="s">
        <v>36</v>
      </c>
      <c r="B12" s="13">
        <v>300000</v>
      </c>
      <c r="C12" s="13">
        <v>330000</v>
      </c>
      <c r="D12" s="13">
        <v>360000</v>
      </c>
      <c r="E12" s="13">
        <v>400000</v>
      </c>
      <c r="F12" s="13">
        <v>440000</v>
      </c>
    </row>
    <row r="13" spans="1:6" x14ac:dyDescent="0.25">
      <c r="A13" s="4" t="s">
        <v>37</v>
      </c>
      <c r="B13" s="13">
        <v>1200000</v>
      </c>
      <c r="C13" s="13">
        <v>1420000</v>
      </c>
      <c r="D13" s="13">
        <v>1790000</v>
      </c>
      <c r="E13" s="13">
        <v>2200000</v>
      </c>
      <c r="F13" s="13">
        <v>2560000</v>
      </c>
    </row>
    <row r="14" spans="1:6" x14ac:dyDescent="0.25">
      <c r="A14" s="4" t="s">
        <v>38</v>
      </c>
      <c r="B14" s="13">
        <v>180000</v>
      </c>
      <c r="C14" s="13">
        <v>170000</v>
      </c>
      <c r="D14" s="13">
        <v>160000</v>
      </c>
      <c r="E14" s="13">
        <v>150000</v>
      </c>
      <c r="F14" s="13">
        <v>140000</v>
      </c>
    </row>
    <row r="15" spans="1:6" x14ac:dyDescent="0.25">
      <c r="A15" s="4" t="s">
        <v>39</v>
      </c>
      <c r="B15" s="13">
        <v>765000</v>
      </c>
      <c r="C15" s="13">
        <v>937500</v>
      </c>
      <c r="D15" s="13">
        <v>1222500</v>
      </c>
      <c r="E15" s="13">
        <v>1537500</v>
      </c>
      <c r="F15" s="13">
        <v>1815000</v>
      </c>
    </row>
    <row r="16" spans="1:6" x14ac:dyDescent="0.25">
      <c r="A16" s="4" t="s">
        <v>40</v>
      </c>
      <c r="B16" s="13">
        <v>900000</v>
      </c>
      <c r="C16" s="13">
        <v>1100000</v>
      </c>
      <c r="D16" s="13">
        <v>1400000</v>
      </c>
      <c r="E16" s="13">
        <v>1800000</v>
      </c>
      <c r="F16" s="13">
        <v>2300000</v>
      </c>
    </row>
    <row r="17" spans="1:6" x14ac:dyDescent="0.25">
      <c r="A17" s="4" t="s">
        <v>41</v>
      </c>
      <c r="B17" s="13">
        <v>3100000</v>
      </c>
      <c r="C17" s="13">
        <v>3500000</v>
      </c>
      <c r="D17" s="13">
        <v>4000000</v>
      </c>
      <c r="E17" s="13">
        <v>4600000</v>
      </c>
      <c r="F17" s="13">
        <v>5300000</v>
      </c>
    </row>
    <row r="18" spans="1:6" x14ac:dyDescent="0.25">
      <c r="A18" s="4" t="s">
        <v>42</v>
      </c>
      <c r="B18" s="13">
        <v>9500000</v>
      </c>
      <c r="C18" s="13">
        <v>10300000</v>
      </c>
      <c r="D18" s="13">
        <v>11400000</v>
      </c>
      <c r="E18" s="13">
        <v>12600000</v>
      </c>
      <c r="F18" s="13">
        <v>14000000</v>
      </c>
    </row>
    <row r="19" spans="1:6" x14ac:dyDescent="0.25">
      <c r="A19" s="4" t="s">
        <v>43</v>
      </c>
      <c r="B19" s="13">
        <v>1900000</v>
      </c>
      <c r="C19" s="13">
        <v>2000000</v>
      </c>
      <c r="D19" s="13">
        <v>2200000</v>
      </c>
      <c r="E19" s="13">
        <v>2400000</v>
      </c>
      <c r="F19" s="13">
        <v>2600000</v>
      </c>
    </row>
    <row r="20" spans="1:6" x14ac:dyDescent="0.25">
      <c r="A20" s="4" t="s">
        <v>44</v>
      </c>
      <c r="B20" s="13">
        <v>5400000</v>
      </c>
      <c r="C20" s="13">
        <v>5400000</v>
      </c>
      <c r="D20" s="13">
        <v>5500000</v>
      </c>
      <c r="E20" s="13">
        <v>5600000</v>
      </c>
      <c r="F20" s="13">
        <v>5800000</v>
      </c>
    </row>
    <row r="21" spans="1:6" x14ac:dyDescent="0.25">
      <c r="A21" s="4" t="s">
        <v>45</v>
      </c>
      <c r="B21" s="13">
        <v>3000000</v>
      </c>
      <c r="C21" s="13">
        <v>2800000</v>
      </c>
      <c r="D21" s="13">
        <v>2600000</v>
      </c>
      <c r="E21" s="13">
        <v>2400000</v>
      </c>
      <c r="F21" s="13">
        <v>2200000</v>
      </c>
    </row>
    <row r="22" spans="1:6" x14ac:dyDescent="0.25">
      <c r="A22" s="4" t="s">
        <v>46</v>
      </c>
      <c r="B22" s="13">
        <v>4100000</v>
      </c>
      <c r="C22" s="13">
        <v>4900000</v>
      </c>
      <c r="D22" s="13">
        <v>5900000</v>
      </c>
      <c r="E22" s="13">
        <v>7000000</v>
      </c>
      <c r="F22" s="13">
        <v>8200000</v>
      </c>
    </row>
    <row r="23" spans="1:6" x14ac:dyDescent="0.25">
      <c r="A23" s="4" t="s">
        <v>47</v>
      </c>
      <c r="B23" s="13">
        <v>450000</v>
      </c>
      <c r="C23" s="13">
        <v>500000</v>
      </c>
      <c r="D23" s="13">
        <v>600000</v>
      </c>
      <c r="E23" s="13">
        <v>700000</v>
      </c>
      <c r="F23" s="13">
        <v>800000</v>
      </c>
    </row>
    <row r="24" spans="1:6" x14ac:dyDescent="0.25">
      <c r="A24" s="4" t="s">
        <v>48</v>
      </c>
      <c r="B24" s="13">
        <v>1200000</v>
      </c>
      <c r="C24" s="13">
        <v>1400000</v>
      </c>
      <c r="D24" s="13">
        <v>1700000</v>
      </c>
      <c r="E24" s="13">
        <v>2000000</v>
      </c>
      <c r="F24" s="13">
        <v>2400000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G26"/>
  <sheetViews>
    <sheetView workbookViewId="0" showGridLines="0"/>
  </sheetViews>
  <sheetFormatPr defaultRowHeight="15" outlineLevelRow="0" outlineLevelCol="0" x14ac:dyDescent="55"/>
  <cols>
    <col min="1" max="1" width="40" customWidth="1"/>
    <col min="2" max="7" width="14" customWidth="1"/>
  </cols>
  <sheetData>
    <row r="1" spans="1:1" x14ac:dyDescent="0.25">
      <c r="A1" s="1" t="s">
        <v>49</v>
      </c>
    </row>
    <row r="2" spans="1:1" x14ac:dyDescent="0.25">
      <c r="A2" s="2" t="s">
        <v>50</v>
      </c>
    </row>
    <row r="3" spans="1:1" x14ac:dyDescent="0.25">
      <c r="A3" s="3" t="s">
        <v>2</v>
      </c>
    </row>
    <row r="5" spans="1:7" x14ac:dyDescent="0.25">
      <c r="A5" s="5" t="s">
        <v>51</v>
      </c>
      <c r="B5" s="5"/>
      <c r="C5" s="5"/>
      <c r="D5" s="5"/>
      <c r="E5" s="5"/>
      <c r="F5" s="5"/>
      <c r="G5" s="5"/>
    </row>
    <row r="6" spans="1:2" x14ac:dyDescent="0.25">
      <c r="A6" s="4" t="s">
        <v>52</v>
      </c>
      <c r="B6" s="13">
        <v>6000000</v>
      </c>
    </row>
    <row r="7" spans="1:2" x14ac:dyDescent="0.25">
      <c r="A7" s="4" t="s">
        <v>53</v>
      </c>
      <c r="B7" s="14">
        <v>0.1</v>
      </c>
    </row>
    <row r="8" spans="1:2" x14ac:dyDescent="0.25">
      <c r="A8" s="4" t="s">
        <v>54</v>
      </c>
      <c r="B8" s="14">
        <v>0.08</v>
      </c>
    </row>
    <row r="10" spans="1:7" x14ac:dyDescent="0.25">
      <c r="A10" s="5" t="s">
        <v>55</v>
      </c>
      <c r="B10" s="5"/>
      <c r="C10" s="5"/>
      <c r="D10" s="5"/>
      <c r="E10" s="5"/>
      <c r="F10" s="5"/>
      <c r="G10" s="5"/>
    </row>
    <row r="11" spans="1:7" x14ac:dyDescent="0.25">
      <c r="A11" s="6" t="s">
        <v>56</v>
      </c>
      <c r="B11" s="12" t="s">
        <v>57</v>
      </c>
      <c r="C11" s="12" t="s">
        <v>58</v>
      </c>
      <c r="D11" s="12" t="s">
        <v>59</v>
      </c>
      <c r="E11" s="12" t="s">
        <v>60</v>
      </c>
      <c r="F11" s="12" t="s">
        <v>61</v>
      </c>
      <c r="G11" s="12" t="s">
        <v>62</v>
      </c>
    </row>
    <row r="12" spans="1:7" x14ac:dyDescent="0.25">
      <c r="A12" s="4" t="s">
        <v>63</v>
      </c>
      <c r="B12" s="15">
        <f>-$B$6</f>
        <v>-6000000</v>
      </c>
      <c r="C12" s="13">
        <v>1575000</v>
      </c>
      <c r="D12" s="13">
        <v>1653750</v>
      </c>
      <c r="E12" s="13">
        <v>1736438</v>
      </c>
      <c r="F12" s="13">
        <v>1823259</v>
      </c>
      <c r="G12" s="13">
        <v>1914422</v>
      </c>
    </row>
    <row r="13" spans="1:7" x14ac:dyDescent="0.25">
      <c r="A13" s="4" t="s">
        <v>64</v>
      </c>
      <c r="B13" s="16">
        <f>1/(1+$B$7)^0</f>
        <v>1</v>
      </c>
      <c r="C13" s="16">
        <f>1/(1+$B$7)^1</f>
        <v>0.9090909090909091</v>
      </c>
      <c r="D13" s="16">
        <f>1/(1+$B$7)^2</f>
        <v>0.8264462809917354</v>
      </c>
      <c r="E13" s="16">
        <f>1/(1+$B$7)^3</f>
        <v>0.7513148009015775</v>
      </c>
      <c r="F13" s="16">
        <f>1/(1+$B$7)^4</f>
        <v>0.6830134553650705</v>
      </c>
      <c r="G13" s="16">
        <f>1/(1+$B$7)^5</f>
        <v>0.6209213230591549</v>
      </c>
    </row>
    <row r="14" spans="1:7" x14ac:dyDescent="0.25">
      <c r="A14" s="4" t="s">
        <v>65</v>
      </c>
      <c r="B14" s="15">
        <f>B12*B13</f>
        <v>-6000000</v>
      </c>
      <c r="C14" s="15">
        <f>C12*C13</f>
        <v>1431818.1818181819</v>
      </c>
      <c r="D14" s="15">
        <f>D12*D13</f>
        <v>1366735.5371900825</v>
      </c>
      <c r="E14" s="15">
        <f>E12*E13</f>
        <v>1304611.5702479335</v>
      </c>
      <c r="F14" s="15">
        <f>F12*F13</f>
        <v>1245310.4296154631</v>
      </c>
      <c r="G14" s="15">
        <f>G12*G13</f>
        <v>1188705.4411335534</v>
      </c>
    </row>
    <row r="15" spans="1:7" x14ac:dyDescent="0.25">
      <c r="A15" s="4" t="s">
        <v>66</v>
      </c>
      <c r="B15" s="15">
        <f>B12</f>
        <v>-6000000</v>
      </c>
      <c r="C15" s="15">
        <f>B15+C12</f>
        <v>-4425000</v>
      </c>
      <c r="D15" s="15">
        <f>C15+D12</f>
        <v>-2771250</v>
      </c>
      <c r="E15" s="15">
        <f>D15+E12</f>
        <v>-1034812</v>
      </c>
      <c r="F15" s="15">
        <f>E15+F12</f>
        <v>788447</v>
      </c>
      <c r="G15" s="15">
        <f>F15+G12</f>
        <v>2702869</v>
      </c>
    </row>
    <row r="16" spans="1:7" x14ac:dyDescent="0.25">
      <c r="A16" s="4" t="s">
        <v>67</v>
      </c>
      <c r="B16" s="15">
        <f>B14</f>
        <v>-6000000</v>
      </c>
      <c r="C16" s="15">
        <f>B16+C14</f>
        <v>-4568181.818181818</v>
      </c>
      <c r="D16" s="15">
        <f>C16+D14</f>
        <v>-3201446.280991736</v>
      </c>
      <c r="E16" s="15">
        <f>D16+E14</f>
        <v>-1896834.7107438024</v>
      </c>
      <c r="F16" s="15">
        <f>E16+F14</f>
        <v>-651524.2811283392</v>
      </c>
      <c r="G16" s="15">
        <f>F16+G14</f>
        <v>537181.1600052142</v>
      </c>
    </row>
    <row r="17" spans="1:7" x14ac:dyDescent="0.25">
      <c r="A17" s="3" t="s">
        <v>68</v>
      </c>
      <c r="C17" s="17">
        <f>IF(AND(B15&lt;0,C15&gt;=0),0-B15/C12,0)</f>
        <v>0</v>
      </c>
      <c r="D17" s="17">
        <f>IF(AND(C15&lt;0,D15&gt;=0),1-C15/D12,0)</f>
        <v>0</v>
      </c>
      <c r="E17" s="17">
        <f>IF(AND(D15&lt;0,E15&gt;=0),2-D15/E12,0)</f>
        <v>0</v>
      </c>
      <c r="F17" s="17">
        <f>IF(AND(E15&lt;0,F15&gt;=0),3-E15/F12,0)</f>
        <v>3.5675617122964978</v>
      </c>
      <c r="G17" s="17">
        <f>IF(AND(F15&lt;0,G15&gt;=0),4-F15/G12,0)</f>
        <v>0</v>
      </c>
    </row>
    <row r="18" spans="1:7" x14ac:dyDescent="0.25">
      <c r="A18" s="3" t="s">
        <v>69</v>
      </c>
      <c r="C18" s="17">
        <f>IF(AND(B16&lt;0,C16&gt;=0),0-B16/C14,0)</f>
        <v>0</v>
      </c>
      <c r="D18" s="17">
        <f>IF(AND(C16&lt;0,D16&gt;=0),1-C16/D14,0)</f>
        <v>0</v>
      </c>
      <c r="E18" s="17">
        <f>IF(AND(D16&lt;0,E16&gt;=0),2-D16/E14,0)</f>
        <v>0</v>
      </c>
      <c r="F18" s="17">
        <f>IF(AND(E16&lt;0,F16&gt;=0),3-E16/F14,0)</f>
        <v>0</v>
      </c>
      <c r="G18" s="17">
        <f>IF(AND(F16&lt;0,G16&gt;=0),4-F16/G14,0)</f>
        <v>4.548095649757474</v>
      </c>
    </row>
    <row r="20" spans="1:7" x14ac:dyDescent="0.25">
      <c r="A20" s="5" t="s">
        <v>70</v>
      </c>
      <c r="B20" s="5"/>
      <c r="C20" s="5"/>
      <c r="D20" s="5"/>
      <c r="E20" s="5"/>
      <c r="F20" s="5"/>
      <c r="G20" s="5"/>
    </row>
    <row r="21" spans="1:2" x14ac:dyDescent="0.25">
      <c r="A21" s="7" t="s">
        <v>71</v>
      </c>
      <c r="B21" s="18">
        <f>B12+NPV($B$7,C12:G12)</f>
        <v>537181.1600052137</v>
      </c>
    </row>
    <row r="22" spans="1:2" x14ac:dyDescent="0.25">
      <c r="A22" s="7" t="s">
        <v>72</v>
      </c>
      <c r="B22" s="19">
        <f>IRR(B12:G12)</f>
        <v>0.13327366972748073</v>
      </c>
    </row>
    <row r="23" spans="1:2" x14ac:dyDescent="0.25">
      <c r="A23" s="7" t="s">
        <v>73</v>
      </c>
      <c r="B23" s="19">
        <f>MIRR(B12:G12,$B$7,$B$8)</f>
        <v>0.11053947895324923</v>
      </c>
    </row>
    <row r="24" spans="1:2" x14ac:dyDescent="0.25">
      <c r="A24" s="7" t="s">
        <v>74</v>
      </c>
      <c r="B24" s="20">
        <f>IF(SUM(C17:G17)=0,"Never",SUM(C17:G17))</f>
        <v>3.5675617122964978</v>
      </c>
    </row>
    <row r="25" spans="1:2" x14ac:dyDescent="0.25">
      <c r="A25" s="7" t="s">
        <v>75</v>
      </c>
      <c r="B25" s="20">
        <f>IF(SUM(C18:G18)=0,"Never",SUM(C18:G18))</f>
        <v>4.548095649757474</v>
      </c>
    </row>
    <row r="26" spans="1:2" x14ac:dyDescent="0.25">
      <c r="A26" s="7" t="s">
        <v>76</v>
      </c>
      <c r="B26" s="21">
        <f>NPV($B$7,C12:G12)/$B$6</f>
        <v>1.0895301933342023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Historicals</vt:lpstr>
      <vt:lpstr>NPV_IRR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Studio</dc:creator>
  <dc:title/>
  <dc:subject/>
  <dc:description/>
  <cp:keywords/>
  <cp:category/>
  <cp:lastModifiedBy>Unknown</cp:lastModifiedBy>
  <dcterms:created xsi:type="dcterms:W3CDTF">2026-10-29T16:47:44Z</dcterms:created>
  <dcterms:modified xsi:type="dcterms:W3CDTF">2026-10-29T16:47:44Z</dcterms:modified>
</cp:coreProperties>
</file>