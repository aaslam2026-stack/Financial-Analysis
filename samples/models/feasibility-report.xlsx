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Historicals" state="visible" r:id="rId5"/>
    <sheet sheetId="3" name="Feasibility" state="visible" r:id="rId6"/>
  </sheets>
  <calcPr calcId="171027" fullCalcOnLoad="1"/>
</workbook>
</file>

<file path=xl/sharedStrings.xml><?xml version="1.0" encoding="utf-8"?>
<sst xmlns="http://schemas.openxmlformats.org/spreadsheetml/2006/main" count="114" uniqueCount="110">
  <si>
    <t>Financial Model: Aurora Retail Co.</t>
  </si>
  <si>
    <t>Prepared with Finance Studio on 10/29/2026</t>
  </si>
  <si>
    <t>Blue = input you can change · Green = linked to Historicals · Black = formula</t>
  </si>
  <si>
    <t>Source data</t>
  </si>
  <si>
    <t>Aurora Retail Co. · 2020–2024 (5 periods)</t>
  </si>
  <si>
    <t>Contents</t>
  </si>
  <si>
    <t>Sheet</t>
  </si>
  <si>
    <t>What it contains</t>
  </si>
  <si>
    <t>Historicals</t>
  </si>
  <si>
    <t>Your uploaded financial statements (the source for linked figures)</t>
  </si>
  <si>
    <t>Feasibility</t>
  </si>
  <si>
    <t>Project feasibility: cash flows, NPV, IRR, payback, verdict</t>
  </si>
  <si>
    <t>How to use this model</t>
  </si>
  <si>
    <t>Input</t>
  </si>
  <si>
    <t>Blue cells are inputs. Change them and every formula updates.</t>
  </si>
  <si>
    <t>Linked</t>
  </si>
  <si>
    <t>Green cells link to the Historicals sheet.</t>
  </si>
  <si>
    <t>Formula</t>
  </si>
  <si>
    <t>Black cells are formulas. Avoid typing over them.</t>
  </si>
  <si>
    <t>Output</t>
  </si>
  <si>
    <t>Shaded cells are key outputs.</t>
  </si>
  <si>
    <t>Models are planning tools based on the data and assumptions provided. They are not investment advice.</t>
  </si>
  <si>
    <t>Historical Financial Statements</t>
  </si>
  <si>
    <t>Aurora Retail Co. · as uploaded</t>
  </si>
  <si>
    <t>Financial statements</t>
  </si>
  <si>
    <t>Line item</t>
  </si>
  <si>
    <t>2020</t>
  </si>
  <si>
    <t>2021</t>
  </si>
  <si>
    <t>2022</t>
  </si>
  <si>
    <t>2023</t>
  </si>
  <si>
    <t>2024</t>
  </si>
  <si>
    <t>Revenue</t>
  </si>
  <si>
    <t>Cost of Goods Sold</t>
  </si>
  <si>
    <t>Gross Profit</t>
  </si>
  <si>
    <t>Operating Expenses</t>
  </si>
  <si>
    <t>EBITDA</t>
  </si>
  <si>
    <t>D&amp;A</t>
  </si>
  <si>
    <t>EBIT</t>
  </si>
  <si>
    <t>Interest Expense</t>
  </si>
  <si>
    <t>Net Income</t>
  </si>
  <si>
    <t>Cash</t>
  </si>
  <si>
    <t>Current Assets</t>
  </si>
  <si>
    <t>Total Assets</t>
  </si>
  <si>
    <t>Current Liabilities</t>
  </si>
  <si>
    <t>Total Liabilities</t>
  </si>
  <si>
    <t>Total Debt</t>
  </si>
  <si>
    <t>Equity</t>
  </si>
  <si>
    <t>CapEx</t>
  </si>
  <si>
    <t>Operating Cash Flow</t>
  </si>
  <si>
    <t>Feasibility Report: New Store Expansion</t>
  </si>
  <si>
    <t>Investment appraisal of a new project</t>
  </si>
  <si>
    <t>Assumptions</t>
  </si>
  <si>
    <t>Initial investment</t>
  </si>
  <si>
    <t>Year-1 revenue</t>
  </si>
  <si>
    <t>Revenue growth</t>
  </si>
  <si>
    <t>Variable costs % of revenue</t>
  </si>
  <si>
    <t>Fixed costs per year</t>
  </si>
  <si>
    <t>Project life (years)</t>
  </si>
  <si>
    <t>Changing the life needs a new export (columns are fixed)</t>
  </si>
  <si>
    <t>Discount rate / hurdle</t>
  </si>
  <si>
    <t>Tax rate</t>
  </si>
  <si>
    <t>Salvage value at end</t>
  </si>
  <si>
    <t>Projected cash flows</t>
  </si>
  <si>
    <t/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</si>
  <si>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</si>
  <si>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</si>
  <si>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</si>
  <si>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</si>
  <si>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</si>
  <si>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</si>
  <si>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</si>
  <si>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</si>
  <si>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</si>
  <si>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</si>
  <si>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</si>
  <si>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Variable costs</t>
  </si>
  <si>
    <t>Fixed costs</t>
  </si>
  <si>
    <t>Depreciation (tax)</t>
  </si>
  <si>
    <t>Taxes</t>
  </si>
  <si>
    <t>Salvage value</t>
  </si>
  <si>
    <t>Net cash flow</t>
  </si>
  <si>
    <t>Cumulative cash flow</t>
  </si>
  <si>
    <t>Payback (helper)</t>
  </si>
  <si>
    <t>Discounted cash flow</t>
  </si>
  <si>
    <t>Cumulative discounted cash flow</t>
  </si>
  <si>
    <t>Discounted payback (helper)</t>
  </si>
  <si>
    <t>Results</t>
  </si>
  <si>
    <t>Net present value (NPV)</t>
  </si>
  <si>
    <t>Internal rate of return (IRR)</t>
  </si>
  <si>
    <t>Payback period</t>
  </si>
  <si>
    <t>Discounted payback period</t>
  </si>
  <si>
    <t>Profitability index</t>
  </si>
  <si>
    <t>Break-even revenue per year</t>
  </si>
  <si>
    <t>Sensitivity (calculated at export)</t>
  </si>
  <si>
    <t>Scenario</t>
  </si>
  <si>
    <t>NPV</t>
  </si>
  <si>
    <t>IRR</t>
  </si>
  <si>
    <t>Payback (yrs)</t>
  </si>
  <si>
    <t>Revenue −20%</t>
  </si>
  <si>
    <t>Revenue −10%</t>
  </si>
  <si>
    <t>Base case</t>
  </si>
  <si>
    <t>Revenue +10%</t>
  </si>
  <si>
    <t>Costs +10%</t>
  </si>
  <si>
    <t>Verdict: Feasible (4 of 4 checks passed)</t>
  </si>
  <si>
    <t>✓ NPV is $1.03M at a 10% hurdle rate</t>
  </si>
  <si>
    <t>✓ IRR of 19.3% beats the 10% hurdle</t>
  </si>
  <si>
    <t>✓ Payback in 4.8 yrs out of a 10-year life</t>
  </si>
  <si>
    <t>✓ NPV stays positive if revenue is 10% below plan</t>
  </si>
  <si>
    <t>Recommendations</t>
  </si>
  <si>
    <t>• Proceed to detailed planning. Track actual revenue against the base case each quarter.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</si>
</sst>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(#,##0);&quot;–&quot;"/>
    <numFmt numFmtId="165" formatCode="0.0%"/>
    <numFmt numFmtId="166" formatCode="0.0 &quot;yrs&quot;"/>
    <numFmt numFmtId="167" formatCode="0.00&quot;x&quot;"/>
  </numFmts>
  <fonts count="12" x14ac:knownFonts="1">
    <font>
      <color theme="1"/>
      <family val="2"/>
      <scheme val="minor"/>
      <sz val="11"/>
      <name val="Calibri"/>
    </font>
    <font>
      <b/>
      <color rgb="FF0B2545"/>
      <sz val="16"/>
    </font>
    <font>
      <i/>
      <color rgb="FF5C6B80"/>
      <sz val="10"/>
    </font>
    <font>
      <i/>
      <color rgb="FF7A8699"/>
      <sz val="9"/>
    </font>
    <font>
      <color rgb="FF14213D"/>
    </font>
    <font>
      <b/>
      <color rgb="FFFFFFFF"/>
    </font>
    <font>
      <b/>
      <color rgb="FF14213D"/>
    </font>
    <font>
      <color rgb="FF0000FF"/>
    </font>
    <font>
      <color rgb="FF00804A"/>
    </font>
    <font>
      <color rgb="FF000000"/>
    </font>
    <font>
      <b/>
      <color rgb="FF0B2545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9EDF3"/>
      </patternFill>
    </fill>
    <fill>
      <patternFill patternType="solid">
        <fgColor rgb="FFFFF8E1"/>
      </patternFill>
    </fill>
    <fill>
      <patternFill patternType="solid">
        <fgColor rgb="FFDCE6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9AA5B5"/>
      </bottom>
      <diagonal/>
    </border>
    <border>
      <left/>
      <right/>
      <top style="thin">
        <color rgb="FF0B2545"/>
      </top>
      <bottom style="thin">
        <color rgb="FF0B2545"/>
      </bottom>
      <diagonal/>
    </border>
    <border>
      <left/>
      <right/>
      <top style="thin">
        <color rgb="FF9AA5B5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/>
    <xf numFmtId="0" fontId="6" fillId="0" borderId="0" xfId="0" applyFont="1"/>
    <xf numFmtId="0" fontId="7" fillId="4" borderId="0" xfId="0" applyFont="1" applyFill="1"/>
    <xf numFmtId="0" fontId="8" fillId="0" borderId="0" xfId="0" applyFont="1"/>
    <xf numFmtId="0" fontId="9" fillId="0" borderId="0" xfId="0" applyFont="1"/>
    <xf numFmtId="0" fontId="10" fillId="5" borderId="2" xfId="0" applyFont="1" applyFill="1" applyBorder="1"/>
    <xf numFmtId="0" fontId="6" fillId="3" borderId="1" xfId="0" applyFont="1" applyFill="1" applyBorder="1" applyAlignment="1">
      <alignment horizontal="right"/>
    </xf>
    <xf numFmtId="164" fontId="7" fillId="4" borderId="0" xfId="0" applyNumberFormat="1" applyFont="1" applyFill="1"/>
    <xf numFmtId="165" fontId="7" fillId="4" borderId="0" xfId="0" applyNumberFormat="1" applyFont="1" applyFill="1"/>
    <xf numFmtId="3" fontId="7" fillId="4" borderId="0" xfId="0" applyNumberFormat="1" applyFont="1" applyFill="1"/>
    <xf numFmtId="164" fontId="0" fillId="0" borderId="0" xfId="0" applyNumberFormat="1"/>
    <xf numFmtId="164" fontId="11" fillId="0" borderId="3" xfId="0" applyNumberFormat="1" applyFont="1" applyBorder="1"/>
    <xf numFmtId="2" fontId="3" fillId="0" borderId="0" xfId="0" applyNumberFormat="1" applyFont="1"/>
    <xf numFmtId="164" fontId="10" fillId="5" borderId="2" xfId="0" applyNumberFormat="1" applyFont="1" applyFill="1" applyBorder="1"/>
    <xf numFmtId="165" fontId="10" fillId="5" borderId="2" xfId="0" applyNumberFormat="1" applyFont="1" applyFill="1" applyBorder="1"/>
    <xf numFmtId="166" fontId="10" fillId="5" borderId="2" xfId="0" applyNumberFormat="1" applyFont="1" applyFill="1" applyBorder="1"/>
    <xf numFmtId="167" fontId="10" fillId="5" borderId="2" xfId="0" applyNumberFormat="1" applyFont="1" applyFill="1" applyBorder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C18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5" spans="1:2" x14ac:dyDescent="0.25">
      <c r="A5" s="4" t="s">
        <v>3</v>
      </c>
      <c r="B5" s="4" t="s">
        <v>4</v>
      </c>
    </row>
    <row r="7" spans="1:3" x14ac:dyDescent="0.25">
      <c r="A7" s="5" t="s">
        <v>5</v>
      </c>
      <c r="B7" s="5"/>
      <c r="C7" s="5"/>
    </row>
    <row r="8" spans="1:2" x14ac:dyDescent="0.25">
      <c r="A8" s="6" t="s">
        <v>6</v>
      </c>
      <c r="B8" s="6" t="s">
        <v>7</v>
      </c>
    </row>
    <row r="9" spans="1:2" x14ac:dyDescent="0.25">
      <c r="A9" s="7" t="s">
        <v>8</v>
      </c>
      <c r="B9" s="4" t="s">
        <v>9</v>
      </c>
    </row>
    <row r="10" spans="1:2" x14ac:dyDescent="0.25">
      <c r="A10" s="7" t="s">
        <v>10</v>
      </c>
      <c r="B10" s="4" t="s">
        <v>11</v>
      </c>
    </row>
    <row r="12" spans="1:3" x14ac:dyDescent="0.25">
      <c r="A12" s="5" t="s">
        <v>12</v>
      </c>
      <c r="B12" s="5"/>
      <c r="C12" s="5"/>
    </row>
    <row r="13" spans="1:2" x14ac:dyDescent="0.25">
      <c r="A13" s="8" t="s">
        <v>13</v>
      </c>
      <c r="B13" s="4" t="s">
        <v>14</v>
      </c>
    </row>
    <row r="14" spans="1:2" x14ac:dyDescent="0.25">
      <c r="A14" s="9" t="s">
        <v>15</v>
      </c>
      <c r="B14" s="4" t="s">
        <v>16</v>
      </c>
    </row>
    <row r="15" spans="1:2" x14ac:dyDescent="0.25">
      <c r="A15" s="10" t="s">
        <v>17</v>
      </c>
      <c r="B15" s="4" t="s">
        <v>18</v>
      </c>
    </row>
    <row r="16" spans="1:2" x14ac:dyDescent="0.25">
      <c r="A16" s="11" t="s">
        <v>19</v>
      </c>
      <c r="B16" s="4" t="s">
        <v>20</v>
      </c>
    </row>
    <row r="18" spans="1:1" x14ac:dyDescent="0.25">
      <c r="A18" s="3" t="s">
        <v>21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F24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5" customWidth="1"/>
  </cols>
  <sheetData>
    <row r="1" spans="1:1" x14ac:dyDescent="0.25">
      <c r="A1" s="1" t="s">
        <v>22</v>
      </c>
    </row>
    <row r="2" spans="1:1" x14ac:dyDescent="0.25">
      <c r="A2" s="2" t="s">
        <v>23</v>
      </c>
    </row>
    <row r="3" spans="1:1" x14ac:dyDescent="0.25">
      <c r="A3" s="3" t="s">
        <v>2</v>
      </c>
    </row>
    <row r="5" spans="1:6" x14ac:dyDescent="0.25">
      <c r="A5" s="5" t="s">
        <v>24</v>
      </c>
      <c r="B5" s="5"/>
      <c r="C5" s="5"/>
      <c r="D5" s="5"/>
      <c r="E5" s="5"/>
      <c r="F5" s="5"/>
    </row>
    <row r="6" spans="1:6" x14ac:dyDescent="0.25">
      <c r="A6" s="6" t="s">
        <v>25</v>
      </c>
      <c r="B6" s="12" t="s">
        <v>26</v>
      </c>
      <c r="C6" s="12" t="s">
        <v>27</v>
      </c>
      <c r="D6" s="12" t="s">
        <v>28</v>
      </c>
      <c r="E6" s="12" t="s">
        <v>29</v>
      </c>
      <c r="F6" s="12" t="s">
        <v>30</v>
      </c>
    </row>
    <row r="7" spans="1:6" x14ac:dyDescent="0.25">
      <c r="A7" s="4" t="s">
        <v>31</v>
      </c>
      <c r="B7" s="13">
        <v>8200000</v>
      </c>
      <c r="C7" s="13">
        <v>9100000</v>
      </c>
      <c r="D7" s="13">
        <v>10400000</v>
      </c>
      <c r="E7" s="13">
        <v>11800000</v>
      </c>
      <c r="F7" s="13">
        <v>13100000</v>
      </c>
    </row>
    <row r="8" spans="1:6" x14ac:dyDescent="0.25">
      <c r="A8" s="4" t="s">
        <v>32</v>
      </c>
      <c r="B8" s="13">
        <v>4900000</v>
      </c>
      <c r="C8" s="13">
        <v>5400000</v>
      </c>
      <c r="D8" s="13">
        <v>6100000</v>
      </c>
      <c r="E8" s="13">
        <v>6800000</v>
      </c>
      <c r="F8" s="13">
        <v>7500000</v>
      </c>
    </row>
    <row r="9" spans="1:6" x14ac:dyDescent="0.25">
      <c r="A9" s="4" t="s">
        <v>33</v>
      </c>
      <c r="B9" s="13">
        <v>3300000</v>
      </c>
      <c r="C9" s="13">
        <v>3700000</v>
      </c>
      <c r="D9" s="13">
        <v>4300000</v>
      </c>
      <c r="E9" s="13">
        <v>5000000</v>
      </c>
      <c r="F9" s="13">
        <v>5600000</v>
      </c>
    </row>
    <row r="10" spans="1:6" x14ac:dyDescent="0.25">
      <c r="A10" s="4" t="s">
        <v>34</v>
      </c>
      <c r="B10" s="13">
        <v>1800000</v>
      </c>
      <c r="C10" s="13">
        <v>1950000</v>
      </c>
      <c r="D10" s="13">
        <v>2150000</v>
      </c>
      <c r="E10" s="13">
        <v>2400000</v>
      </c>
      <c r="F10" s="13">
        <v>2600000</v>
      </c>
    </row>
    <row r="11" spans="1:6" x14ac:dyDescent="0.25">
      <c r="A11" s="4" t="s">
        <v>35</v>
      </c>
      <c r="B11" s="13">
        <v>1500000</v>
      </c>
      <c r="C11" s="13">
        <v>1750000</v>
      </c>
      <c r="D11" s="13">
        <v>2150000</v>
      </c>
      <c r="E11" s="13">
        <v>2600000</v>
      </c>
      <c r="F11" s="13">
        <v>3000000</v>
      </c>
    </row>
    <row r="12" spans="1:6" x14ac:dyDescent="0.25">
      <c r="A12" s="4" t="s">
        <v>36</v>
      </c>
      <c r="B12" s="13">
        <v>300000</v>
      </c>
      <c r="C12" s="13">
        <v>330000</v>
      </c>
      <c r="D12" s="13">
        <v>360000</v>
      </c>
      <c r="E12" s="13">
        <v>400000</v>
      </c>
      <c r="F12" s="13">
        <v>440000</v>
      </c>
    </row>
    <row r="13" spans="1:6" x14ac:dyDescent="0.25">
      <c r="A13" s="4" t="s">
        <v>37</v>
      </c>
      <c r="B13" s="13">
        <v>1200000</v>
      </c>
      <c r="C13" s="13">
        <v>1420000</v>
      </c>
      <c r="D13" s="13">
        <v>1790000</v>
      </c>
      <c r="E13" s="13">
        <v>2200000</v>
      </c>
      <c r="F13" s="13">
        <v>2560000</v>
      </c>
    </row>
    <row r="14" spans="1:6" x14ac:dyDescent="0.25">
      <c r="A14" s="4" t="s">
        <v>38</v>
      </c>
      <c r="B14" s="13">
        <v>180000</v>
      </c>
      <c r="C14" s="13">
        <v>170000</v>
      </c>
      <c r="D14" s="13">
        <v>160000</v>
      </c>
      <c r="E14" s="13">
        <v>150000</v>
      </c>
      <c r="F14" s="13">
        <v>140000</v>
      </c>
    </row>
    <row r="15" spans="1:6" x14ac:dyDescent="0.25">
      <c r="A15" s="4" t="s">
        <v>39</v>
      </c>
      <c r="B15" s="13">
        <v>765000</v>
      </c>
      <c r="C15" s="13">
        <v>937500</v>
      </c>
      <c r="D15" s="13">
        <v>1222500</v>
      </c>
      <c r="E15" s="13">
        <v>1537500</v>
      </c>
      <c r="F15" s="13">
        <v>1815000</v>
      </c>
    </row>
    <row r="16" spans="1:6" x14ac:dyDescent="0.25">
      <c r="A16" s="4" t="s">
        <v>40</v>
      </c>
      <c r="B16" s="13">
        <v>900000</v>
      </c>
      <c r="C16" s="13">
        <v>1100000</v>
      </c>
      <c r="D16" s="13">
        <v>1400000</v>
      </c>
      <c r="E16" s="13">
        <v>1800000</v>
      </c>
      <c r="F16" s="13">
        <v>2300000</v>
      </c>
    </row>
    <row r="17" spans="1:6" x14ac:dyDescent="0.25">
      <c r="A17" s="4" t="s">
        <v>41</v>
      </c>
      <c r="B17" s="13">
        <v>3100000</v>
      </c>
      <c r="C17" s="13">
        <v>3500000</v>
      </c>
      <c r="D17" s="13">
        <v>4000000</v>
      </c>
      <c r="E17" s="13">
        <v>4600000</v>
      </c>
      <c r="F17" s="13">
        <v>5300000</v>
      </c>
    </row>
    <row r="18" spans="1:6" x14ac:dyDescent="0.25">
      <c r="A18" s="4" t="s">
        <v>42</v>
      </c>
      <c r="B18" s="13">
        <v>9500000</v>
      </c>
      <c r="C18" s="13">
        <v>10300000</v>
      </c>
      <c r="D18" s="13">
        <v>11400000</v>
      </c>
      <c r="E18" s="13">
        <v>12600000</v>
      </c>
      <c r="F18" s="13">
        <v>14000000</v>
      </c>
    </row>
    <row r="19" spans="1:6" x14ac:dyDescent="0.25">
      <c r="A19" s="4" t="s">
        <v>43</v>
      </c>
      <c r="B19" s="13">
        <v>1900000</v>
      </c>
      <c r="C19" s="13">
        <v>2000000</v>
      </c>
      <c r="D19" s="13">
        <v>2200000</v>
      </c>
      <c r="E19" s="13">
        <v>2400000</v>
      </c>
      <c r="F19" s="13">
        <v>2600000</v>
      </c>
    </row>
    <row r="20" spans="1:6" x14ac:dyDescent="0.25">
      <c r="A20" s="4" t="s">
        <v>44</v>
      </c>
      <c r="B20" s="13">
        <v>5400000</v>
      </c>
      <c r="C20" s="13">
        <v>5400000</v>
      </c>
      <c r="D20" s="13">
        <v>5500000</v>
      </c>
      <c r="E20" s="13">
        <v>5600000</v>
      </c>
      <c r="F20" s="13">
        <v>5800000</v>
      </c>
    </row>
    <row r="21" spans="1:6" x14ac:dyDescent="0.25">
      <c r="A21" s="4" t="s">
        <v>45</v>
      </c>
      <c r="B21" s="13">
        <v>3000000</v>
      </c>
      <c r="C21" s="13">
        <v>2800000</v>
      </c>
      <c r="D21" s="13">
        <v>2600000</v>
      </c>
      <c r="E21" s="13">
        <v>2400000</v>
      </c>
      <c r="F21" s="13">
        <v>2200000</v>
      </c>
    </row>
    <row r="22" spans="1:6" x14ac:dyDescent="0.25">
      <c r="A22" s="4" t="s">
        <v>46</v>
      </c>
      <c r="B22" s="13">
        <v>4100000</v>
      </c>
      <c r="C22" s="13">
        <v>4900000</v>
      </c>
      <c r="D22" s="13">
        <v>5900000</v>
      </c>
      <c r="E22" s="13">
        <v>7000000</v>
      </c>
      <c r="F22" s="13">
        <v>8200000</v>
      </c>
    </row>
    <row r="23" spans="1:6" x14ac:dyDescent="0.25">
      <c r="A23" s="4" t="s">
        <v>47</v>
      </c>
      <c r="B23" s="13">
        <v>450000</v>
      </c>
      <c r="C23" s="13">
        <v>500000</v>
      </c>
      <c r="D23" s="13">
        <v>600000</v>
      </c>
      <c r="E23" s="13">
        <v>700000</v>
      </c>
      <c r="F23" s="13">
        <v>800000</v>
      </c>
    </row>
    <row r="24" spans="1:6" x14ac:dyDescent="0.25">
      <c r="A24" s="4" t="s">
        <v>48</v>
      </c>
      <c r="B24" s="13">
        <v>1200000</v>
      </c>
      <c r="C24" s="13">
        <v>1400000</v>
      </c>
      <c r="D24" s="13">
        <v>1700000</v>
      </c>
      <c r="E24" s="13">
        <v>2000000</v>
      </c>
      <c r="F24" s="13">
        <v>2400000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  <pageSetUpPr fitToPage="1"/>
  </sheetPr>
  <dimension ref="A1:L55"/>
  <sheetViews>
    <sheetView workbookViewId="0" showGridLines="0"/>
  </sheetViews>
  <sheetFormatPr defaultRowHeight="15" outlineLevelRow="0" outlineLevelCol="0" x14ac:dyDescent="55"/>
  <cols>
    <col min="1" max="1" width="46" customWidth="1"/>
    <col min="2" max="12" width="14" customWidth="1"/>
  </cols>
  <sheetData>
    <row r="1" spans="1:1" x14ac:dyDescent="0.25">
      <c r="A1" s="1" t="s">
        <v>49</v>
      </c>
    </row>
    <row r="2" spans="1:1" x14ac:dyDescent="0.25">
      <c r="A2" s="2" t="s">
        <v>50</v>
      </c>
    </row>
    <row r="3" spans="1:1" x14ac:dyDescent="0.25">
      <c r="A3" s="3" t="s">
        <v>2</v>
      </c>
    </row>
    <row r="5" spans="1:12" x14ac:dyDescent="0.25">
      <c r="A5" s="5" t="s">
        <v>51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2" x14ac:dyDescent="0.25">
      <c r="A6" s="4" t="s">
        <v>52</v>
      </c>
      <c r="B6" s="13">
        <v>2000000</v>
      </c>
    </row>
    <row r="7" spans="1:2" x14ac:dyDescent="0.25">
      <c r="A7" s="4" t="s">
        <v>53</v>
      </c>
      <c r="B7" s="13">
        <v>1200000</v>
      </c>
    </row>
    <row r="8" spans="1:2" x14ac:dyDescent="0.25">
      <c r="A8" s="4" t="s">
        <v>54</v>
      </c>
      <c r="B8" s="14">
        <v>0.06</v>
      </c>
    </row>
    <row r="9" spans="1:2" x14ac:dyDescent="0.25">
      <c r="A9" s="4" t="s">
        <v>55</v>
      </c>
      <c r="B9" s="14">
        <v>0.45</v>
      </c>
    </row>
    <row r="10" spans="1:2" x14ac:dyDescent="0.25">
      <c r="A10" s="4" t="s">
        <v>56</v>
      </c>
      <c r="B10" s="13">
        <v>250000</v>
      </c>
    </row>
    <row r="11" spans="1:3" x14ac:dyDescent="0.25">
      <c r="A11" s="4" t="s">
        <v>57</v>
      </c>
      <c r="B11" s="15">
        <v>10</v>
      </c>
      <c r="C11" s="3" t="s">
        <v>58</v>
      </c>
    </row>
    <row r="12" spans="1:2" x14ac:dyDescent="0.25">
      <c r="A12" s="4" t="s">
        <v>59</v>
      </c>
      <c r="B12" s="14">
        <v>0.1</v>
      </c>
    </row>
    <row r="13" spans="1:2" x14ac:dyDescent="0.25">
      <c r="A13" s="4" t="s">
        <v>60</v>
      </c>
      <c r="B13" s="14">
        <v>0.25</v>
      </c>
    </row>
    <row r="14" spans="1:2" x14ac:dyDescent="0.25">
      <c r="A14" s="4" t="s">
        <v>61</v>
      </c>
      <c r="B14" s="13">
        <v>200000</v>
      </c>
    </row>
    <row r="16" spans="1:12" x14ac:dyDescent="0.25">
      <c r="A16" s="5" t="s">
        <v>62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25">
      <c r="A17" s="6" t="s">
        <v>63</v>
      </c>
      <c r="B17" s="12" t="s">
        <v>64</v>
      </c>
      <c r="C17" s="12" t="s">
        <v>65</v>
      </c>
      <c r="D17" s="12" t="s">
        <v>66</v>
      </c>
      <c r="E17" s="12" t="s">
        <v>67</v>
      </c>
      <c r="F17" s="12" t="s">
        <v>68</v>
      </c>
      <c r="G17" s="12" t="s">
        <v>69</v>
      </c>
      <c r="H17" s="12" t="s">
        <v>70</v>
      </c>
      <c r="I17" s="12" t="s">
        <v>71</v>
      </c>
      <c r="J17" s="12" t="s">
        <v>72</v>
      </c>
      <c r="K17" s="12" t="s">
        <v>73</v>
      </c>
      <c r="L17" s="12" t="s">
        <v>74</v>
      </c>
    </row>
    <row r="18" spans="1:12" x14ac:dyDescent="0.25">
      <c r="A18" s="4" t="s">
        <v>31</v>
      </c>
      <c r="C18" s="16">
        <f>$B$7*(1+$B$8)^0</f>
        <v>1200000</v>
      </c>
      <c r="D18" s="16">
        <f>$B$7*(1+$B$8)^1</f>
        <v>1272000</v>
      </c>
      <c r="E18" s="16">
        <f>$B$7*(1+$B$8)^2</f>
        <v>1348320.0000000002</v>
      </c>
      <c r="F18" s="16">
        <f>$B$7*(1+$B$8)^3</f>
        <v>1429219.2000000002</v>
      </c>
      <c r="G18" s="16">
        <f>$B$7*(1+$B$8)^4</f>
        <v>1514972.3520000004</v>
      </c>
      <c r="H18" s="16">
        <f>$B$7*(1+$B$8)^5</f>
        <v>1605870.6931200004</v>
      </c>
      <c r="I18" s="16">
        <f>$B$7*(1+$B$8)^6</f>
        <v>1702222.9347072004</v>
      </c>
      <c r="J18" s="16">
        <f>$B$7*(1+$B$8)^7</f>
        <v>1804356.3107896326</v>
      </c>
      <c r="K18" s="16">
        <f>$B$7*(1+$B$8)^8</f>
        <v>1912617.6894370108</v>
      </c>
      <c r="L18" s="16">
        <f>$B$7*(1+$B$8)^9</f>
        <v>2027374.7508032315</v>
      </c>
    </row>
    <row r="19" spans="1:12" x14ac:dyDescent="0.25">
      <c r="A19" s="4" t="s">
        <v>75</v>
      </c>
      <c r="C19" s="16">
        <f>C18*$B$9</f>
        <v>540000</v>
      </c>
      <c r="D19" s="16">
        <f>D18*$B$9</f>
        <v>572400</v>
      </c>
      <c r="E19" s="16">
        <f>E18*$B$9</f>
        <v>606744.0000000001</v>
      </c>
      <c r="F19" s="16">
        <f>F18*$B$9</f>
        <v>643148.6400000001</v>
      </c>
      <c r="G19" s="16">
        <f>G18*$B$9</f>
        <v>681737.5584000002</v>
      </c>
      <c r="H19" s="16">
        <f>H18*$B$9</f>
        <v>722641.8119040002</v>
      </c>
      <c r="I19" s="16">
        <f>I18*$B$9</f>
        <v>766000.3206182402</v>
      </c>
      <c r="J19" s="16">
        <f>J18*$B$9</f>
        <v>811960.3398553347</v>
      </c>
      <c r="K19" s="16">
        <f>K18*$B$9</f>
        <v>860677.9602466549</v>
      </c>
      <c r="L19" s="16">
        <f>L18*$B$9</f>
        <v>912318.6378614542</v>
      </c>
    </row>
    <row r="20" spans="1:12" x14ac:dyDescent="0.25">
      <c r="A20" s="4" t="s">
        <v>76</v>
      </c>
      <c r="C20" s="16">
        <f>$B$10</f>
        <v>250000</v>
      </c>
      <c r="D20" s="16">
        <f>$B$10</f>
        <v>250000</v>
      </c>
      <c r="E20" s="16">
        <f>$B$10</f>
        <v>250000</v>
      </c>
      <c r="F20" s="16">
        <f>$B$10</f>
        <v>250000</v>
      </c>
      <c r="G20" s="16">
        <f>$B$10</f>
        <v>250000</v>
      </c>
      <c r="H20" s="16">
        <f>$B$10</f>
        <v>250000</v>
      </c>
      <c r="I20" s="16">
        <f>$B$10</f>
        <v>250000</v>
      </c>
      <c r="J20" s="16">
        <f>$B$10</f>
        <v>250000</v>
      </c>
      <c r="K20" s="16">
        <f>$B$10</f>
        <v>250000</v>
      </c>
      <c r="L20" s="16">
        <f>$B$10</f>
        <v>250000</v>
      </c>
    </row>
    <row r="21" spans="1:12" x14ac:dyDescent="0.25">
      <c r="A21" s="7" t="s">
        <v>35</v>
      </c>
      <c r="C21" s="16">
        <f>C18-C19-C20</f>
        <v>410000</v>
      </c>
      <c r="D21" s="16">
        <f>D18-D19-D20</f>
        <v>449600</v>
      </c>
      <c r="E21" s="16">
        <f>E18-E19-E20</f>
        <v>491576.0000000001</v>
      </c>
      <c r="F21" s="16">
        <f>F18-F19-F20</f>
        <v>536070.56</v>
      </c>
      <c r="G21" s="16">
        <f>G18-G19-G20</f>
        <v>583234.7936000002</v>
      </c>
      <c r="H21" s="16">
        <f>H18-H19-H20</f>
        <v>633228.8812160002</v>
      </c>
      <c r="I21" s="16">
        <f>I18-I19-I20</f>
        <v>686222.6140889602</v>
      </c>
      <c r="J21" s="16">
        <f>J18-J19-J20</f>
        <v>742395.9709342979</v>
      </c>
      <c r="K21" s="16">
        <f>K18-K19-K20</f>
        <v>801939.7291903559</v>
      </c>
      <c r="L21" s="16">
        <f>L18-L19-L20</f>
        <v>865056.1129417773</v>
      </c>
    </row>
    <row r="22" spans="1:12" x14ac:dyDescent="0.25">
      <c r="A22" s="4" t="s">
        <v>77</v>
      </c>
      <c r="C22" s="16">
        <f>($B$6-$B$14)/$B$11</f>
        <v>180000</v>
      </c>
      <c r="D22" s="16">
        <f>($B$6-$B$14)/$B$11</f>
        <v>180000</v>
      </c>
      <c r="E22" s="16">
        <f>($B$6-$B$14)/$B$11</f>
        <v>180000</v>
      </c>
      <c r="F22" s="16">
        <f>($B$6-$B$14)/$B$11</f>
        <v>180000</v>
      </c>
      <c r="G22" s="16">
        <f>($B$6-$B$14)/$B$11</f>
        <v>180000</v>
      </c>
      <c r="H22" s="16">
        <f>($B$6-$B$14)/$B$11</f>
        <v>180000</v>
      </c>
      <c r="I22" s="16">
        <f>($B$6-$B$14)/$B$11</f>
        <v>180000</v>
      </c>
      <c r="J22" s="16">
        <f>($B$6-$B$14)/$B$11</f>
        <v>180000</v>
      </c>
      <c r="K22" s="16">
        <f>($B$6-$B$14)/$B$11</f>
        <v>180000</v>
      </c>
      <c r="L22" s="16">
        <f>($B$6-$B$14)/$B$11</f>
        <v>180000</v>
      </c>
    </row>
    <row r="23" spans="1:12" x14ac:dyDescent="0.25">
      <c r="A23" s="4" t="s">
        <v>78</v>
      </c>
      <c r="C23" s="16">
        <f>MAX(0,(C21-C22)*$B$13)</f>
        <v>57500</v>
      </c>
      <c r="D23" s="16">
        <f>MAX(0,(D21-D22)*$B$13)</f>
        <v>67400</v>
      </c>
      <c r="E23" s="16">
        <f>MAX(0,(E21-E22)*$B$13)</f>
        <v>77894.00000000003</v>
      </c>
      <c r="F23" s="16">
        <f>MAX(0,(F21-F22)*$B$13)</f>
        <v>89017.64000000001</v>
      </c>
      <c r="G23" s="16">
        <f>MAX(0,(G21-G22)*$B$13)</f>
        <v>100808.69840000005</v>
      </c>
      <c r="H23" s="16">
        <f>MAX(0,(H21-H22)*$B$13)</f>
        <v>113307.22030400005</v>
      </c>
      <c r="I23" s="16">
        <f>MAX(0,(I21-I22)*$B$13)</f>
        <v>126555.65352224006</v>
      </c>
      <c r="J23" s="16">
        <f>MAX(0,(J21-J22)*$B$13)</f>
        <v>140598.99273357447</v>
      </c>
      <c r="K23" s="16">
        <f>MAX(0,(K21-K22)*$B$13)</f>
        <v>155484.93229758897</v>
      </c>
      <c r="L23" s="16">
        <f>MAX(0,(L21-L22)*$B$13)</f>
        <v>171264.02823544433</v>
      </c>
    </row>
    <row r="24" spans="1:12" x14ac:dyDescent="0.25">
      <c r="A24" s="4" t="s">
        <v>79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f>$B$14</f>
        <v>200000</v>
      </c>
    </row>
    <row r="25" spans="1:12" x14ac:dyDescent="0.25">
      <c r="A25" s="7" t="s">
        <v>80</v>
      </c>
      <c r="B25" s="17">
        <f>-$B$6</f>
        <v>-2000000</v>
      </c>
      <c r="C25" s="17">
        <f>C21-C23+C24</f>
        <v>352500</v>
      </c>
      <c r="D25" s="17">
        <f>D21-D23+D24</f>
        <v>382200</v>
      </c>
      <c r="E25" s="17">
        <f>E21-E23+E24</f>
        <v>413682.0000000001</v>
      </c>
      <c r="F25" s="17">
        <f>F21-F23+F24</f>
        <v>447052.92000000004</v>
      </c>
      <c r="G25" s="17">
        <f>G21-G23+G24</f>
        <v>482426.09520000016</v>
      </c>
      <c r="H25" s="17">
        <f>H21-H23+H24</f>
        <v>519921.6609120001</v>
      </c>
      <c r="I25" s="17">
        <f>I21-I23+I24</f>
        <v>559666.9605667202</v>
      </c>
      <c r="J25" s="17">
        <f>J21-J23+J24</f>
        <v>601796.9782007234</v>
      </c>
      <c r="K25" s="17">
        <f>K21-K23+K24</f>
        <v>646454.7968927668</v>
      </c>
      <c r="L25" s="17">
        <f>L21-L23+L24</f>
        <v>893792.084706333</v>
      </c>
    </row>
    <row r="26" spans="1:12" x14ac:dyDescent="0.25">
      <c r="A26" s="4" t="s">
        <v>81</v>
      </c>
      <c r="B26" s="16">
        <f>B25</f>
        <v>-2000000</v>
      </c>
      <c r="C26" s="16">
        <f>B26+C25</f>
        <v>-1647500</v>
      </c>
      <c r="D26" s="16">
        <f>C26+D25</f>
        <v>-1265300</v>
      </c>
      <c r="E26" s="16">
        <f>D26+E25</f>
        <v>-851617.9999999999</v>
      </c>
      <c r="F26" s="16">
        <f>E26+F25</f>
        <v>-404565.07999999984</v>
      </c>
      <c r="G26" s="16">
        <f>F26+G25</f>
        <v>77861.01520000031</v>
      </c>
      <c r="H26" s="16">
        <f>G26+H25</f>
        <v>597782.6761120004</v>
      </c>
      <c r="I26" s="16">
        <f>H26+I25</f>
        <v>1157449.6366787206</v>
      </c>
      <c r="J26" s="16">
        <f>I26+J25</f>
        <v>1759246.614879444</v>
      </c>
      <c r="K26" s="16">
        <f>J26+K25</f>
        <v>2405701.411772211</v>
      </c>
      <c r="L26" s="16">
        <f>K26+L25</f>
        <v>3299493.496478544</v>
      </c>
    </row>
    <row r="27" spans="1:12" x14ac:dyDescent="0.25">
      <c r="A27" s="3" t="s">
        <v>82</v>
      </c>
      <c r="C27" s="18">
        <f>IF(AND(B26&lt;0,C26&gt;=0),0-B26/C25,0)</f>
        <v>0</v>
      </c>
      <c r="D27" s="18">
        <f>IF(AND(C26&lt;0,D26&gt;=0),1-C26/D25,0)</f>
        <v>0</v>
      </c>
      <c r="E27" s="18">
        <f>IF(AND(D26&lt;0,E26&gt;=0),2-D26/E25,0)</f>
        <v>0</v>
      </c>
      <c r="F27" s="18">
        <f>IF(AND(E26&lt;0,F26&gt;=0),3-E26/F25,0)</f>
        <v>0</v>
      </c>
      <c r="G27" s="18">
        <f>IF(AND(F26&lt;0,G26&gt;=0),4-F26/G25,0)</f>
        <v>4.838605299392602</v>
      </c>
      <c r="H27" s="18">
        <f>IF(AND(G26&lt;0,H26&gt;=0),5-G26/H25,0)</f>
        <v>0</v>
      </c>
      <c r="I27" s="18">
        <f>IF(AND(H26&lt;0,I26&gt;=0),6-H26/I25,0)</f>
        <v>0</v>
      </c>
      <c r="J27" s="18">
        <f>IF(AND(I26&lt;0,J26&gt;=0),7-I26/J25,0)</f>
        <v>0</v>
      </c>
      <c r="K27" s="18">
        <f>IF(AND(J26&lt;0,K26&gt;=0),8-J26/K25,0)</f>
        <v>0</v>
      </c>
      <c r="L27" s="18">
        <f>IF(AND(K26&lt;0,L26&gt;=0),9-K26/L25,0)</f>
        <v>0</v>
      </c>
    </row>
    <row r="28" spans="1:12" x14ac:dyDescent="0.25">
      <c r="A28" s="4" t="s">
        <v>83</v>
      </c>
      <c r="B28" s="16">
        <f>B25</f>
        <v>-2000000</v>
      </c>
      <c r="C28" s="16">
        <f>C25/(1+$B$12)^1</f>
        <v>320454.5454545454</v>
      </c>
      <c r="D28" s="16">
        <f>D25/(1+$B$12)^2</f>
        <v>315867.7685950413</v>
      </c>
      <c r="E28" s="16">
        <f>E25/(1+$B$12)^3</f>
        <v>310805.40946656646</v>
      </c>
      <c r="F28" s="16">
        <f>F25/(1+$B$12)^4</f>
        <v>305343.15962024446</v>
      </c>
      <c r="G28" s="16">
        <f>G25/(1+$B$12)^5</f>
        <v>299548.64930984593</v>
      </c>
      <c r="H28" s="16">
        <f>H25/(1+$B$12)^6</f>
        <v>293482.223255084</v>
      </c>
      <c r="I28" s="16">
        <f>I25/(1+$B$12)^7</f>
        <v>287197.64432031714</v>
      </c>
      <c r="J28" s="16">
        <f>J25/(1+$B$12)^8</f>
        <v>280742.73171855335</v>
      </c>
      <c r="K28" s="16">
        <f>K25/(1+$B$12)^9</f>
        <v>274159.9397476907</v>
      </c>
      <c r="L28" s="16">
        <f>L25/(1+$B$12)^10</f>
        <v>344595.540403758</v>
      </c>
    </row>
    <row r="29" spans="1:12" x14ac:dyDescent="0.25">
      <c r="A29" s="4" t="s">
        <v>84</v>
      </c>
      <c r="B29" s="16">
        <f>B28</f>
        <v>-2000000</v>
      </c>
      <c r="C29" s="16">
        <f>B29+C28</f>
        <v>-1679545.4545454546</v>
      </c>
      <c r="D29" s="16">
        <f>C29+D28</f>
        <v>-1363677.6859504133</v>
      </c>
      <c r="E29" s="16">
        <f>D29+E28</f>
        <v>-1052872.2764838468</v>
      </c>
      <c r="F29" s="16">
        <f>E29+F28</f>
        <v>-747529.1168636023</v>
      </c>
      <c r="G29" s="16">
        <f>F29+G28</f>
        <v>-447980.4675537564</v>
      </c>
      <c r="H29" s="16">
        <f>G29+H28</f>
        <v>-154498.24429867236</v>
      </c>
      <c r="I29" s="16">
        <f>H29+I28</f>
        <v>132699.40002164477</v>
      </c>
      <c r="J29" s="16">
        <f>I29+J28</f>
        <v>413442.1317401981</v>
      </c>
      <c r="K29" s="16">
        <f>J29+K28</f>
        <v>687602.0714878888</v>
      </c>
      <c r="L29" s="16">
        <f>K29+L28</f>
        <v>1032197.6118916469</v>
      </c>
    </row>
    <row r="30" spans="1:12" x14ac:dyDescent="0.25">
      <c r="A30" s="3" t="s">
        <v>85</v>
      </c>
      <c r="C30" s="18">
        <f>IF(AND(B29&lt;0,C29&gt;=0),0-B29/C28,0)</f>
        <v>0</v>
      </c>
      <c r="D30" s="18">
        <f>IF(AND(C29&lt;0,D29&gt;=0),1-C29/D28,0)</f>
        <v>0</v>
      </c>
      <c r="E30" s="18">
        <f>IF(AND(D29&lt;0,E29&gt;=0),2-D29/E28,0)</f>
        <v>0</v>
      </c>
      <c r="F30" s="18">
        <f>IF(AND(E29&lt;0,F29&gt;=0),3-E29/F28,0)</f>
        <v>0</v>
      </c>
      <c r="G30" s="18">
        <f>IF(AND(F29&lt;0,G29&gt;=0),4-F29/G28,0)</f>
        <v>0</v>
      </c>
      <c r="H30" s="18">
        <f>IF(AND(G29&lt;0,H29&gt;=0),5-G29/H28,0)</f>
        <v>0</v>
      </c>
      <c r="I30" s="18">
        <f>IF(AND(H29&lt;0,I29&gt;=0),6-H29/I28,0)</f>
        <v>6.537950945469307</v>
      </c>
      <c r="J30" s="18">
        <f>IF(AND(I29&lt;0,J29&gt;=0),7-I29/J28,0)</f>
        <v>0</v>
      </c>
      <c r="K30" s="18">
        <f>IF(AND(J29&lt;0,K29&gt;=0),8-J29/K28,0)</f>
        <v>0</v>
      </c>
      <c r="L30" s="18">
        <f>IF(AND(K29&lt;0,L29&gt;=0),9-K29/L28,0)</f>
        <v>0</v>
      </c>
    </row>
    <row r="32" spans="1:12" x14ac:dyDescent="0.25">
      <c r="A32" s="5" t="s">
        <v>86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2" x14ac:dyDescent="0.25">
      <c r="A33" s="7" t="s">
        <v>87</v>
      </c>
      <c r="B33" s="19">
        <f>B25+NPV($B$12,C25:L25)</f>
        <v>1032197.6118916469</v>
      </c>
    </row>
    <row r="34" spans="1:2" x14ac:dyDescent="0.25">
      <c r="A34" s="7" t="s">
        <v>88</v>
      </c>
      <c r="B34" s="20">
        <f>IRR(B25:L25)</f>
        <v>0.1933523443230764</v>
      </c>
    </row>
    <row r="35" spans="1:2" x14ac:dyDescent="0.25">
      <c r="A35" s="7" t="s">
        <v>89</v>
      </c>
      <c r="B35" s="21">
        <f>IF(SUM(C27:L27)=0,"Never",SUM(C27:L27))</f>
        <v>4.838605299392602</v>
      </c>
    </row>
    <row r="36" spans="1:2" x14ac:dyDescent="0.25">
      <c r="A36" s="7" t="s">
        <v>90</v>
      </c>
      <c r="B36" s="21">
        <f>IF(SUM(C30:L30)=0,"Never",SUM(C30:L30))</f>
        <v>6.537950945469307</v>
      </c>
    </row>
    <row r="37" spans="1:2" x14ac:dyDescent="0.25">
      <c r="A37" s="7" t="s">
        <v>91</v>
      </c>
      <c r="B37" s="22">
        <f>NPV($B$12,C25:L25)/$B$6</f>
        <v>1.5160988059458234</v>
      </c>
    </row>
    <row r="38" spans="1:2" x14ac:dyDescent="0.25">
      <c r="A38" s="7" t="s">
        <v>92</v>
      </c>
      <c r="B38" s="19">
        <f>$B$10/(1-$B$9)</f>
        <v>454545.45454545453</v>
      </c>
    </row>
    <row r="40" spans="1:12" x14ac:dyDescent="0.25">
      <c r="A40" s="5" t="s">
        <v>93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4" x14ac:dyDescent="0.25">
      <c r="A41" s="6" t="s">
        <v>94</v>
      </c>
      <c r="B41" s="12" t="s">
        <v>95</v>
      </c>
      <c r="C41" s="12" t="s">
        <v>96</v>
      </c>
      <c r="D41" s="12" t="s">
        <v>97</v>
      </c>
    </row>
    <row r="42" spans="1:4" x14ac:dyDescent="0.25">
      <c r="A42" s="4" t="s">
        <v>98</v>
      </c>
      <c r="B42" s="16">
        <v>266059.6585779154</v>
      </c>
      <c r="C42" s="23">
        <v>0.1255405345987588</v>
      </c>
      <c r="D42" s="24">
        <v>6.221293966159862</v>
      </c>
    </row>
    <row r="43" spans="1:4" x14ac:dyDescent="0.25">
      <c r="A43" s="4" t="s">
        <v>99</v>
      </c>
      <c r="B43" s="16">
        <v>649128.6352347813</v>
      </c>
      <c r="C43" s="23">
        <v>0.1603531132211285</v>
      </c>
      <c r="D43" s="24">
        <v>5.443429973398869</v>
      </c>
    </row>
    <row r="44" spans="1:4" x14ac:dyDescent="0.25">
      <c r="A44" s="4" t="s">
        <v>100</v>
      </c>
      <c r="B44" s="16">
        <v>1032197.6118916471</v>
      </c>
      <c r="C44" s="23">
        <v>0.1933523443230764</v>
      </c>
      <c r="D44" s="24">
        <v>4.838605299392601</v>
      </c>
    </row>
    <row r="45" spans="1:4" x14ac:dyDescent="0.25">
      <c r="A45" s="4" t="s">
        <v>101</v>
      </c>
      <c r="B45" s="16">
        <v>1415266.5885485131</v>
      </c>
      <c r="C45" s="23">
        <v>0.22493950258137713</v>
      </c>
      <c r="D45" s="24">
        <v>4.345045208342797</v>
      </c>
    </row>
    <row r="46" spans="1:4" x14ac:dyDescent="0.25">
      <c r="A46" s="4" t="s">
        <v>102</v>
      </c>
      <c r="B46" s="16">
        <v>603566.9068495205</v>
      </c>
      <c r="C46" s="23">
        <v>0.15607979647321096</v>
      </c>
      <c r="D46" s="24">
        <v>5.546321506781661</v>
      </c>
    </row>
    <row r="48" spans="1:12" x14ac:dyDescent="0.25">
      <c r="A48" s="5" t="s">
        <v>103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" x14ac:dyDescent="0.25">
      <c r="A49" s="4" t="s">
        <v>104</v>
      </c>
    </row>
    <row r="50" spans="1:1" x14ac:dyDescent="0.25">
      <c r="A50" s="4" t="s">
        <v>105</v>
      </c>
    </row>
    <row r="51" spans="1:1" x14ac:dyDescent="0.25">
      <c r="A51" s="4" t="s">
        <v>106</v>
      </c>
    </row>
    <row r="52" spans="1:1" x14ac:dyDescent="0.25">
      <c r="A52" s="4" t="s">
        <v>107</v>
      </c>
    </row>
    <row r="54" spans="1:1" x14ac:dyDescent="0.25">
      <c r="A54" s="7" t="s">
        <v>108</v>
      </c>
    </row>
    <row r="55" spans="1:1" x14ac:dyDescent="0.25">
      <c r="A55" s="4" t="s">
        <v>109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Historicals</vt:lpstr>
      <vt:lpstr>Feasibility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Studio</dc:creator>
  <dc:title/>
  <dc:subject/>
  <dc:description/>
  <cp:keywords/>
  <cp:category/>
  <cp:lastModifiedBy>Unknown</cp:lastModifiedBy>
  <dcterms:created xsi:type="dcterms:W3CDTF">2026-10-29T16:47:45Z</dcterms:created>
  <dcterms:modified xsi:type="dcterms:W3CDTF">2026-10-29T16:47:45Z</dcterms:modified>
</cp:coreProperties>
</file>