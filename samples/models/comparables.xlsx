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Comps" state="visible" r:id="rId6"/>
  </sheets>
  <calcPr calcId="171027" fullCalcOnLoad="1"/>
</workbook>
</file>

<file path=xl/sharedStrings.xml><?xml version="1.0" encoding="utf-8"?>
<sst xmlns="http://schemas.openxmlformats.org/spreadsheetml/2006/main" count="80" uniqueCount="73">
  <si>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</si>
  <si>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</si>
  <si>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</si>
  <si>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</si>
  <si>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</si>
  <si>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</si>
  <si>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</si>
  <si>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</si>
  <si>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</si>
  <si>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</si>
  <si>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Comps</t>
  </si>
  <si>
    <t>Trading comparables: implied valuation range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</si>
  <si>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</si>
  <si>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</si>
  <si>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</si>
  <si>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</si>
  <si>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</si>
  <si>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</si>
  <si>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</si>
  <si>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</si>
  <si>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</si>
  <si>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</si>
  <si>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</si>
  <si>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</si>
  <si>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</si>
  <si>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</si>
  <si>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</si>
  <si>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</si>
  <si>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</si>
  <si>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</si>
  <si>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</si>
  <si>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</si>
  <si>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</si>
  <si>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</si>
  <si>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</si>
  <si>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</si>
  <si>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</si>
  <si>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</si>
  <si>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</si>
  <si>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</si>
  <si>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</si>
  <si>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</si>
  <si>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</si>
  <si>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</si>
  <si>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</si>
  <si>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</si>
  <si>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</si>
  <si>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</si>
  <si>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</si>
  <si>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Comparable Companies</t>
  </si>
  <si>
    <t>Aurora Retail Co. · trading multiples</t>
  </si>
  <si>
    <t>Company metrics</t>
  </si>
  <si>
    <t>Net income</t>
  </si>
  <si>
    <t>Net debt</t>
  </si>
  <si>
    <t>Peer multiples (enter your peer group)</t>
  </si>
  <si>
    <t>Peer</t>
  </si>
  <si>
    <t>EV / EBITDA</t>
  </si>
  <si>
    <t>EV / Sales</t>
  </si>
  <si>
    <t>P / E</t>
  </si>
  <si>
    <t>Peer 1</t>
  </si>
  <si>
    <t>Peer 2</t>
  </si>
  <si>
    <t>Peer 3</t>
  </si>
  <si>
    <t>Peer 4</t>
  </si>
  <si>
    <t>Peer 5</t>
  </si>
  <si>
    <t>Implied equity value</t>
  </si>
  <si>
    <t>Method</t>
  </si>
  <si>
    <t>Low multiple</t>
  </si>
  <si>
    <t>Median multiple</t>
  </si>
  <si>
    <t>High multiple</t>
  </si>
  <si>
    <t>Low value</t>
  </si>
  <si>
    <t>Median value</t>
  </si>
  <si>
    <t>High value</t>
  </si>
  <si>
    <t>Implied equity value (median of methods)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</si>
</sst>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&quot;–&quot;"/>
    <numFmt numFmtId="165" formatCode="0.00&quot;x&quot;"/>
  </numFmts>
  <fonts count="11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4" fontId="8" fillId="0" borderId="0" xfId="0" applyNumberFormat="1" applyFont="1"/>
    <xf numFmtId="165" fontId="7" fillId="4" borderId="0" xfId="0" applyNumberFormat="1" applyFont="1" applyFill="1"/>
    <xf numFmtId="165" fontId="0" fillId="0" borderId="0" xfId="0" applyNumberFormat="1"/>
    <xf numFmtId="164" fontId="0" fillId="0" borderId="0" xfId="0" applyNumberFormat="1"/>
    <xf numFmtId="164" fontId="10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25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6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7" x14ac:dyDescent="0.25">
      <c r="A5" s="5" t="s">
        <v>51</v>
      </c>
      <c r="B5" s="5"/>
      <c r="C5" s="5"/>
      <c r="D5" s="5"/>
      <c r="E5" s="5"/>
      <c r="F5" s="5"/>
      <c r="G5" s="5"/>
    </row>
    <row r="6" spans="1:2" x14ac:dyDescent="0.25">
      <c r="A6" s="4" t="s">
        <v>31</v>
      </c>
      <c r="B6" s="14">
        <f>Historicals!$F$7</f>
        <v>13100000</v>
      </c>
    </row>
    <row r="7" spans="1:2" x14ac:dyDescent="0.25">
      <c r="A7" s="4" t="s">
        <v>35</v>
      </c>
      <c r="B7" s="14">
        <f>Historicals!$F$11</f>
        <v>3000000</v>
      </c>
    </row>
    <row r="8" spans="1:2" x14ac:dyDescent="0.25">
      <c r="A8" s="4" t="s">
        <v>52</v>
      </c>
      <c r="B8" s="14">
        <f>Historicals!$F$15</f>
        <v>1815000</v>
      </c>
    </row>
    <row r="9" spans="1:2" x14ac:dyDescent="0.25">
      <c r="A9" s="4" t="s">
        <v>53</v>
      </c>
      <c r="B9" s="14">
        <f>Historicals!$F$21-Historicals!$F$16</f>
        <v>-100000</v>
      </c>
    </row>
    <row r="11" spans="1:7" x14ac:dyDescent="0.25">
      <c r="A11" s="5" t="s">
        <v>54</v>
      </c>
      <c r="B11" s="5"/>
      <c r="C11" s="5"/>
      <c r="D11" s="5"/>
      <c r="E11" s="5"/>
      <c r="F11" s="5"/>
      <c r="G11" s="5"/>
    </row>
    <row r="12" spans="1:4" x14ac:dyDescent="0.25">
      <c r="A12" s="6" t="s">
        <v>55</v>
      </c>
      <c r="B12" s="12" t="s">
        <v>56</v>
      </c>
      <c r="C12" s="12" t="s">
        <v>57</v>
      </c>
      <c r="D12" s="12" t="s">
        <v>58</v>
      </c>
    </row>
    <row r="13" spans="1:4" x14ac:dyDescent="0.25">
      <c r="A13" s="4" t="s">
        <v>59</v>
      </c>
      <c r="B13" s="15">
        <v>7.5</v>
      </c>
      <c r="C13" s="15">
        <v>1.1</v>
      </c>
      <c r="D13" s="15">
        <v>14</v>
      </c>
    </row>
    <row r="14" spans="1:4" x14ac:dyDescent="0.25">
      <c r="A14" s="4" t="s">
        <v>60</v>
      </c>
      <c r="B14" s="15">
        <v>8.2</v>
      </c>
      <c r="C14" s="15">
        <v>1.4</v>
      </c>
      <c r="D14" s="15">
        <v>16.5</v>
      </c>
    </row>
    <row r="15" spans="1:4" x14ac:dyDescent="0.25">
      <c r="A15" s="4" t="s">
        <v>61</v>
      </c>
      <c r="B15" s="15">
        <v>9</v>
      </c>
      <c r="C15" s="15">
        <v>1.6</v>
      </c>
      <c r="D15" s="15">
        <v>18</v>
      </c>
    </row>
    <row r="16" spans="1:4" x14ac:dyDescent="0.25">
      <c r="A16" s="4" t="s">
        <v>62</v>
      </c>
      <c r="B16" s="15">
        <v>10.1</v>
      </c>
      <c r="C16" s="15">
        <v>1.9</v>
      </c>
      <c r="D16" s="15">
        <v>21</v>
      </c>
    </row>
    <row r="17" spans="1:2" x14ac:dyDescent="0.25">
      <c r="A17" s="4" t="s">
        <v>63</v>
      </c>
      <c r="B17" s="15">
        <v>11.4</v>
      </c>
    </row>
    <row r="19" spans="1:7" x14ac:dyDescent="0.25">
      <c r="A19" s="5" t="s">
        <v>64</v>
      </c>
      <c r="B19" s="5"/>
      <c r="C19" s="5"/>
      <c r="D19" s="5"/>
      <c r="E19" s="5"/>
      <c r="F19" s="5"/>
      <c r="G19" s="5"/>
    </row>
    <row r="20" spans="1:7" x14ac:dyDescent="0.25">
      <c r="A20" s="6" t="s">
        <v>65</v>
      </c>
      <c r="B20" s="12" t="s">
        <v>66</v>
      </c>
      <c r="C20" s="12" t="s">
        <v>67</v>
      </c>
      <c r="D20" s="12" t="s">
        <v>68</v>
      </c>
      <c r="E20" s="12" t="s">
        <v>69</v>
      </c>
      <c r="F20" s="12" t="s">
        <v>70</v>
      </c>
      <c r="G20" s="12" t="s">
        <v>71</v>
      </c>
    </row>
    <row r="21" spans="1:7" x14ac:dyDescent="0.25">
      <c r="A21" s="4" t="s">
        <v>56</v>
      </c>
      <c r="B21" s="16">
        <f>MIN(B$13:B$17)</f>
        <v>7.5</v>
      </c>
      <c r="C21" s="16">
        <f>MEDIAN(B$13:B$17)</f>
        <v>9</v>
      </c>
      <c r="D21" s="16">
        <f>MAX(B$13:B$17)</f>
        <v>11.4</v>
      </c>
      <c r="E21" s="17">
        <f>B21*$B$7-$B$9</f>
        <v>22600000</v>
      </c>
      <c r="F21" s="17">
        <f>C21*$B$7-$B$9</f>
        <v>27100000</v>
      </c>
      <c r="G21" s="17">
        <f>D21*$B$7-$B$9</f>
        <v>34300000</v>
      </c>
    </row>
    <row r="22" spans="1:7" x14ac:dyDescent="0.25">
      <c r="A22" s="4" t="s">
        <v>57</v>
      </c>
      <c r="B22" s="16">
        <f>MIN(C$13:C$17)</f>
        <v>1.1</v>
      </c>
      <c r="C22" s="16">
        <f>MEDIAN(C$13:C$17)</f>
        <v>1.5</v>
      </c>
      <c r="D22" s="16">
        <f>MAX(C$13:C$17)</f>
        <v>1.9</v>
      </c>
      <c r="E22" s="17">
        <f>B22*$B$6-$B$9</f>
        <v>14510000.000000002</v>
      </c>
      <c r="F22" s="17">
        <f>C22*$B$6-$B$9</f>
        <v>19750000</v>
      </c>
      <c r="G22" s="17">
        <f>D22*$B$6-$B$9</f>
        <v>24990000</v>
      </c>
    </row>
    <row r="23" spans="1:7" x14ac:dyDescent="0.25">
      <c r="A23" s="4" t="s">
        <v>58</v>
      </c>
      <c r="B23" s="16">
        <f>MIN(D$13:D$17)</f>
        <v>14</v>
      </c>
      <c r="C23" s="16">
        <f>MEDIAN(D$13:D$17)</f>
        <v>17.25</v>
      </c>
      <c r="D23" s="16">
        <f>MAX(D$13:D$17)</f>
        <v>21</v>
      </c>
      <c r="E23" s="17">
        <f>B23*$B$8</f>
        <v>25410000</v>
      </c>
      <c r="F23" s="17">
        <f>C23*$B$8</f>
        <v>31308750</v>
      </c>
      <c r="G23" s="17">
        <f>D23*$B$8</f>
        <v>38115000</v>
      </c>
    </row>
    <row r="25" spans="1:2" x14ac:dyDescent="0.25">
      <c r="A25" s="7" t="s">
        <v>72</v>
      </c>
      <c r="B25" s="18">
        <f>MEDIAN(F21,F22,F23)</f>
        <v>27100000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Comps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2026-10-29T16:47:43Z</dcterms:created>
  <dcterms:modified xsi:type="dcterms:W3CDTF">2026-10-29T16:47:43Z</dcterms:modified>
</cp:coreProperties>
</file>