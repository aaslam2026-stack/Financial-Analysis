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Historicals" state="visible" r:id="rId5"/>
    <sheet sheetId="3" name="LBO" state="visible" r:id="rId6"/>
  </sheets>
  <calcPr calcId="171027" fullCalcOnLoad="1"/>
</workbook>
</file>

<file path=xl/sharedStrings.xml><?xml version="1.0" encoding="utf-8"?>
<sst xmlns="http://schemas.openxmlformats.org/spreadsheetml/2006/main" count="91" uniqueCount="88">
  <si>
    <t>Financial Model: Aurora Retail Co.</t>
  </si>
  <si>
    <t>Prepared with Finance Studio on 10/29/2026</t>
  </si>
  <si>
    <t>Blue = input you can change · Green = linked to Historicals · Black = formula</t>
  </si>
  <si>
    <t>Source data</t>
  </si>
  <si>
    <t>Aurora Retail Co. · 2020–2024 (5 periods)</t>
  </si>
  <si>
    <t>Contents</t>
  </si>
  <si>
    <t>Sheet</t>
  </si>
  <si>
    <t>What it contains</t>
  </si>
  <si>
    <t>Historicals</t>
  </si>
  <si>
    <t>Your uploaded financial statements (the source for linked figures)</t>
  </si>
  <si>
    <t>LBO</t>
  </si>
  <si>
    <t>Leveraged buyout: sources &amp; uses, debt schedule, IRR and MOIC</t>
  </si>
  <si>
    <t>How to use this model</t>
  </si>
  <si>
    <t>Input</t>
  </si>
  <si>
    <t>Blue cells are inputs. Change them and every formula updates.</t>
  </si>
  <si>
    <t>Linked</t>
  </si>
  <si>
    <t>Green cells link to the Historicals sheet.</t>
  </si>
  <si>
    <t>Formula</t>
  </si>
  <si>
    <t>Black cells are formulas. Avoid typing over them.</t>
  </si>
  <si>
    <t>Output</t>
  </si>
  <si>
    <t>Shaded cells are key outputs.</t>
  </si>
  <si>
    <t>Models are planning tools based on the data and assumptions provided. They are not investment advice.</t>
  </si>
  <si>
    <t>Historical Financial Statements</t>
  </si>
  <si>
    <t>Aurora Retail Co. · as uploaded</t>
  </si>
  <si>
    <t>Financial statements</t>
  </si>
  <si>
    <t>Line item</t>
  </si>
  <si>
    <t>2020</t>
  </si>
  <si>
    <t>2021</t>
  </si>
  <si>
    <t>2022</t>
  </si>
  <si>
    <t>2023</t>
  </si>
  <si>
    <t>2024</t>
  </si>
  <si>
    <t>Revenue</t>
  </si>
  <si>
    <t>Cost of Goods Sold</t>
  </si>
  <si>
    <t>Gross Profit</t>
  </si>
  <si>
    <t>Operating Expenses</t>
  </si>
  <si>
    <t>EBITDA</t>
  </si>
  <si>
    <t>D&amp;A</t>
  </si>
  <si>
    <t>EBIT</t>
  </si>
  <si>
    <t>Interest Expense</t>
  </si>
  <si>
    <t>Net Income</t>
  </si>
  <si>
    <t>Cash</t>
  </si>
  <si>
    <t>Current Assets</t>
  </si>
  <si>
    <t>Total Assets</t>
  </si>
  <si>
    <t>Current Liabilities</t>
  </si>
  <si>
    <t>Total Liabilities</t>
  </si>
  <si>
    <t>Total Debt</t>
  </si>
  <si>
    <t>Equity</t>
  </si>
  <si>
    <t>CapEx</t>
  </si>
  <si>
    <t>Operating Cash Flow</t>
  </si>
  <si>
    <t>Leveraged Buyout</t>
  </si>
  <si>
    <t>Aurora Retail Co. · sponsor returns</t>
  </si>
  <si>
    <t>Assumptions</t>
  </si>
  <si>
    <t>Entry EBITDA</t>
  </si>
  <si>
    <t>Entry multiple (x EBITDA)</t>
  </si>
  <si>
    <t>Debt (x EBITDA)</t>
  </si>
  <si>
    <t>Interest rate</t>
  </si>
  <si>
    <t>EBITDA growth</t>
  </si>
  <si>
    <t>Exit multiple (x EBITDA)</t>
  </si>
  <si>
    <t>Tax rate</t>
  </si>
  <si>
    <t>CapEx % of EBITDA</t>
  </si>
  <si>
    <t>Cash used to repay debt</t>
  </si>
  <si>
    <t>Transaction fees % of EV</t>
  </si>
  <si>
    <t>Sources &amp; uses</t>
  </si>
  <si>
    <t>Purchase price (enterprise value)</t>
  </si>
  <si>
    <t>Transaction fees</t>
  </si>
  <si>
    <t>Total uses</t>
  </si>
  <si>
    <t>Debt raised</t>
  </si>
  <si>
    <t>Sponsor equity</t>
  </si>
  <si>
    <t>Debt schedule</t>
  </si>
  <si>
    <t/>
  </si>
  <si>
    <t>Entry</t>
  </si>
  <si>
    <t>2025E</t>
  </si>
  <si>
    <t>2026E</t>
  </si>
  <si>
    <t>2027E</t>
  </si>
  <si>
    <t>2028E</t>
  </si>
  <si>
    <t>2029E</t>
  </si>
  <si>
    <t>Interest</t>
  </si>
  <si>
    <t>Capital expenditure</t>
  </si>
  <si>
    <t>Taxes</t>
  </si>
  <si>
    <t>Free cash flow</t>
  </si>
  <si>
    <t>Debt repayment</t>
  </si>
  <si>
    <t>Debt balance (end of year)</t>
  </si>
  <si>
    <t>Cash balance</t>
  </si>
  <si>
    <t>Equity value at exit multiple</t>
  </si>
  <si>
    <t>Returns</t>
  </si>
  <si>
    <t>Exit equity value</t>
  </si>
  <si>
    <t>MOIC (multiple of invested capital)</t>
  </si>
  <si>
    <t>IRR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</si>
</sst>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(#,##0);&quot;–&quot;"/>
    <numFmt numFmtId="165" formatCode="0.00&quot;x&quot;"/>
    <numFmt numFmtId="166" formatCode="0.0%"/>
  </numFmts>
  <fonts count="12" x14ac:knownFonts="1">
    <font>
      <color theme="1"/>
      <family val="2"/>
      <scheme val="minor"/>
      <sz val="11"/>
      <name val="Calibri"/>
    </font>
    <font>
      <b/>
      <color rgb="FF0B2545"/>
      <sz val="16"/>
    </font>
    <font>
      <i/>
      <color rgb="FF5C6B80"/>
      <sz val="10"/>
    </font>
    <font>
      <i/>
      <color rgb="FF7A8699"/>
      <sz val="9"/>
    </font>
    <font>
      <color rgb="FF14213D"/>
    </font>
    <font>
      <b/>
      <color rgb="FFFFFFFF"/>
    </font>
    <font>
      <b/>
      <color rgb="FF14213D"/>
    </font>
    <font>
      <color rgb="FF0000FF"/>
    </font>
    <font>
      <color rgb="FF00804A"/>
    </font>
    <font>
      <color rgb="FF000000"/>
    </font>
    <font>
      <b/>
      <color rgb="FF0B2545"/>
    </font>
    <font>
      <b/>
    </font>
  </fonts>
  <fills count="6">
    <fill>
      <patternFill patternType="none"/>
    </fill>
    <fill>
      <patternFill patternType="gray125"/>
    </fill>
    <fill>
      <patternFill patternType="solid">
        <fgColor rgb="FF0B2545"/>
      </patternFill>
    </fill>
    <fill>
      <patternFill patternType="solid">
        <fgColor rgb="FFE9EDF3"/>
      </patternFill>
    </fill>
    <fill>
      <patternFill patternType="solid">
        <fgColor rgb="FFFFF8E1"/>
      </patternFill>
    </fill>
    <fill>
      <patternFill patternType="solid">
        <fgColor rgb="FFDCE6F2"/>
      </patternFill>
    </fill>
  </fills>
  <borders count="4">
    <border>
      <left/>
      <right/>
      <top/>
      <bottom/>
      <diagonal/>
    </border>
    <border>
      <left/>
      <right/>
      <top/>
      <bottom style="thin">
        <color rgb="FF9AA5B5"/>
      </bottom>
      <diagonal/>
    </border>
    <border>
      <left/>
      <right/>
      <top style="thin">
        <color rgb="FF0B2545"/>
      </top>
      <bottom style="thin">
        <color rgb="FF0B2545"/>
      </bottom>
      <diagonal/>
    </border>
    <border>
      <left/>
      <right/>
      <top style="thin">
        <color rgb="FF9AA5B5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3" borderId="1" xfId="0" applyFont="1" applyFill="1" applyBorder="1"/>
    <xf numFmtId="0" fontId="6" fillId="0" borderId="0" xfId="0" applyFont="1"/>
    <xf numFmtId="0" fontId="7" fillId="4" borderId="0" xfId="0" applyFont="1" applyFill="1"/>
    <xf numFmtId="0" fontId="8" fillId="0" borderId="0" xfId="0" applyFont="1"/>
    <xf numFmtId="0" fontId="9" fillId="0" borderId="0" xfId="0" applyFont="1"/>
    <xf numFmtId="0" fontId="10" fillId="5" borderId="2" xfId="0" applyFont="1" applyFill="1" applyBorder="1"/>
    <xf numFmtId="0" fontId="6" fillId="3" borderId="1" xfId="0" applyFont="1" applyFill="1" applyBorder="1" applyAlignment="1">
      <alignment horizontal="right"/>
    </xf>
    <xf numFmtId="164" fontId="7" fillId="4" borderId="0" xfId="0" applyNumberFormat="1" applyFont="1" applyFill="1"/>
    <xf numFmtId="164" fontId="8" fillId="0" borderId="0" xfId="0" applyNumberFormat="1" applyFont="1"/>
    <xf numFmtId="165" fontId="7" fillId="4" borderId="0" xfId="0" applyNumberFormat="1" applyFont="1" applyFill="1"/>
    <xf numFmtId="166" fontId="7" fillId="4" borderId="0" xfId="0" applyNumberFormat="1" applyFont="1" applyFill="1"/>
    <xf numFmtId="164" fontId="0" fillId="0" borderId="0" xfId="0" applyNumberFormat="1"/>
    <xf numFmtId="164" fontId="11" fillId="0" borderId="3" xfId="0" applyNumberFormat="1" applyFont="1" applyBorder="1"/>
    <xf numFmtId="164" fontId="10" fillId="5" borderId="2" xfId="0" applyNumberFormat="1" applyFont="1" applyFill="1" applyBorder="1"/>
    <xf numFmtId="165" fontId="10" fillId="5" borderId="2" xfId="0" applyNumberFormat="1" applyFont="1" applyFill="1" applyBorder="1"/>
    <xf numFmtId="166" fontId="10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2545"/>
    <pageSetUpPr fitToPage="1"/>
  </sheetPr>
  <dimension ref="A1:C18"/>
  <sheetViews>
    <sheetView workbookViewId="0" showGridLines="0"/>
  </sheetViews>
  <sheetFormatPr defaultRowHeight="15" outlineLevelRow="0" outlineLevelCol="0" x14ac:dyDescent="55"/>
  <cols>
    <col min="1" max="1" width="30" customWidth="1"/>
    <col min="2" max="2" width="80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5" spans="1:2" x14ac:dyDescent="0.25">
      <c r="A5" s="4" t="s">
        <v>3</v>
      </c>
      <c r="B5" s="4" t="s">
        <v>4</v>
      </c>
    </row>
    <row r="7" spans="1:3" x14ac:dyDescent="0.25">
      <c r="A7" s="5" t="s">
        <v>5</v>
      </c>
      <c r="B7" s="5"/>
      <c r="C7" s="5"/>
    </row>
    <row r="8" spans="1:2" x14ac:dyDescent="0.25">
      <c r="A8" s="6" t="s">
        <v>6</v>
      </c>
      <c r="B8" s="6" t="s">
        <v>7</v>
      </c>
    </row>
    <row r="9" spans="1:2" x14ac:dyDescent="0.25">
      <c r="A9" s="7" t="s">
        <v>8</v>
      </c>
      <c r="B9" s="4" t="s">
        <v>9</v>
      </c>
    </row>
    <row r="10" spans="1:2" x14ac:dyDescent="0.25">
      <c r="A10" s="7" t="s">
        <v>10</v>
      </c>
      <c r="B10" s="4" t="s">
        <v>11</v>
      </c>
    </row>
    <row r="12" spans="1:3" x14ac:dyDescent="0.25">
      <c r="A12" s="5" t="s">
        <v>12</v>
      </c>
      <c r="B12" s="5"/>
      <c r="C12" s="5"/>
    </row>
    <row r="13" spans="1:2" x14ac:dyDescent="0.25">
      <c r="A13" s="8" t="s">
        <v>13</v>
      </c>
      <c r="B13" s="4" t="s">
        <v>14</v>
      </c>
    </row>
    <row r="14" spans="1:2" x14ac:dyDescent="0.25">
      <c r="A14" s="9" t="s">
        <v>15</v>
      </c>
      <c r="B14" s="4" t="s">
        <v>16</v>
      </c>
    </row>
    <row r="15" spans="1:2" x14ac:dyDescent="0.25">
      <c r="A15" s="10" t="s">
        <v>17</v>
      </c>
      <c r="B15" s="4" t="s">
        <v>18</v>
      </c>
    </row>
    <row r="16" spans="1:2" x14ac:dyDescent="0.25">
      <c r="A16" s="11" t="s">
        <v>19</v>
      </c>
      <c r="B16" s="4" t="s">
        <v>20</v>
      </c>
    </row>
    <row r="18" spans="1:1" x14ac:dyDescent="0.25">
      <c r="A18" s="3" t="s">
        <v>21</v>
      </c>
    </row>
  </sheetData>
  <pageMargins left="0.7" right="0.7" top="0.75" bottom="0.75" header="0.3" footer="0.3"/>
  <pageSetup orientation="landscape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2545"/>
    <pageSetUpPr fitToPage="1"/>
  </sheetPr>
  <dimension ref="A1:F24"/>
  <sheetViews>
    <sheetView workbookViewId="0" showGridLines="0"/>
  </sheetViews>
  <sheetFormatPr defaultRowHeight="15" outlineLevelRow="0" outlineLevelCol="0" x14ac:dyDescent="55"/>
  <cols>
    <col min="1" max="1" width="34" customWidth="1"/>
    <col min="2" max="6" width="15" customWidth="1"/>
  </cols>
  <sheetData>
    <row r="1" spans="1:1" x14ac:dyDescent="0.25">
      <c r="A1" s="1" t="s">
        <v>22</v>
      </c>
    </row>
    <row r="2" spans="1:1" x14ac:dyDescent="0.25">
      <c r="A2" s="2" t="s">
        <v>23</v>
      </c>
    </row>
    <row r="3" spans="1:1" x14ac:dyDescent="0.25">
      <c r="A3" s="3" t="s">
        <v>2</v>
      </c>
    </row>
    <row r="5" spans="1:6" x14ac:dyDescent="0.25">
      <c r="A5" s="5" t="s">
        <v>24</v>
      </c>
      <c r="B5" s="5"/>
      <c r="C5" s="5"/>
      <c r="D5" s="5"/>
      <c r="E5" s="5"/>
      <c r="F5" s="5"/>
    </row>
    <row r="6" spans="1:6" x14ac:dyDescent="0.25">
      <c r="A6" s="6" t="s">
        <v>25</v>
      </c>
      <c r="B6" s="12" t="s">
        <v>26</v>
      </c>
      <c r="C6" s="12" t="s">
        <v>27</v>
      </c>
      <c r="D6" s="12" t="s">
        <v>28</v>
      </c>
      <c r="E6" s="12" t="s">
        <v>29</v>
      </c>
      <c r="F6" s="12" t="s">
        <v>30</v>
      </c>
    </row>
    <row r="7" spans="1:6" x14ac:dyDescent="0.25">
      <c r="A7" s="4" t="s">
        <v>31</v>
      </c>
      <c r="B7" s="13">
        <v>8200000</v>
      </c>
      <c r="C7" s="13">
        <v>9100000</v>
      </c>
      <c r="D7" s="13">
        <v>10400000</v>
      </c>
      <c r="E7" s="13">
        <v>11800000</v>
      </c>
      <c r="F7" s="13">
        <v>13100000</v>
      </c>
    </row>
    <row r="8" spans="1:6" x14ac:dyDescent="0.25">
      <c r="A8" s="4" t="s">
        <v>32</v>
      </c>
      <c r="B8" s="13">
        <v>4900000</v>
      </c>
      <c r="C8" s="13">
        <v>5400000</v>
      </c>
      <c r="D8" s="13">
        <v>6100000</v>
      </c>
      <c r="E8" s="13">
        <v>6800000</v>
      </c>
      <c r="F8" s="13">
        <v>7500000</v>
      </c>
    </row>
    <row r="9" spans="1:6" x14ac:dyDescent="0.25">
      <c r="A9" s="4" t="s">
        <v>33</v>
      </c>
      <c r="B9" s="13">
        <v>3300000</v>
      </c>
      <c r="C9" s="13">
        <v>3700000</v>
      </c>
      <c r="D9" s="13">
        <v>4300000</v>
      </c>
      <c r="E9" s="13">
        <v>5000000</v>
      </c>
      <c r="F9" s="13">
        <v>5600000</v>
      </c>
    </row>
    <row r="10" spans="1:6" x14ac:dyDescent="0.25">
      <c r="A10" s="4" t="s">
        <v>34</v>
      </c>
      <c r="B10" s="13">
        <v>1800000</v>
      </c>
      <c r="C10" s="13">
        <v>1950000</v>
      </c>
      <c r="D10" s="13">
        <v>2150000</v>
      </c>
      <c r="E10" s="13">
        <v>2400000</v>
      </c>
      <c r="F10" s="13">
        <v>2600000</v>
      </c>
    </row>
    <row r="11" spans="1:6" x14ac:dyDescent="0.25">
      <c r="A11" s="4" t="s">
        <v>35</v>
      </c>
      <c r="B11" s="13">
        <v>1500000</v>
      </c>
      <c r="C11" s="13">
        <v>1750000</v>
      </c>
      <c r="D11" s="13">
        <v>2150000</v>
      </c>
      <c r="E11" s="13">
        <v>2600000</v>
      </c>
      <c r="F11" s="13">
        <v>3000000</v>
      </c>
    </row>
    <row r="12" spans="1:6" x14ac:dyDescent="0.25">
      <c r="A12" s="4" t="s">
        <v>36</v>
      </c>
      <c r="B12" s="13">
        <v>300000</v>
      </c>
      <c r="C12" s="13">
        <v>330000</v>
      </c>
      <c r="D12" s="13">
        <v>360000</v>
      </c>
      <c r="E12" s="13">
        <v>400000</v>
      </c>
      <c r="F12" s="13">
        <v>440000</v>
      </c>
    </row>
    <row r="13" spans="1:6" x14ac:dyDescent="0.25">
      <c r="A13" s="4" t="s">
        <v>37</v>
      </c>
      <c r="B13" s="13">
        <v>1200000</v>
      </c>
      <c r="C13" s="13">
        <v>1420000</v>
      </c>
      <c r="D13" s="13">
        <v>1790000</v>
      </c>
      <c r="E13" s="13">
        <v>2200000</v>
      </c>
      <c r="F13" s="13">
        <v>2560000</v>
      </c>
    </row>
    <row r="14" spans="1:6" x14ac:dyDescent="0.25">
      <c r="A14" s="4" t="s">
        <v>38</v>
      </c>
      <c r="B14" s="13">
        <v>180000</v>
      </c>
      <c r="C14" s="13">
        <v>170000</v>
      </c>
      <c r="D14" s="13">
        <v>160000</v>
      </c>
      <c r="E14" s="13">
        <v>150000</v>
      </c>
      <c r="F14" s="13">
        <v>140000</v>
      </c>
    </row>
    <row r="15" spans="1:6" x14ac:dyDescent="0.25">
      <c r="A15" s="4" t="s">
        <v>39</v>
      </c>
      <c r="B15" s="13">
        <v>765000</v>
      </c>
      <c r="C15" s="13">
        <v>937500</v>
      </c>
      <c r="D15" s="13">
        <v>1222500</v>
      </c>
      <c r="E15" s="13">
        <v>1537500</v>
      </c>
      <c r="F15" s="13">
        <v>1815000</v>
      </c>
    </row>
    <row r="16" spans="1:6" x14ac:dyDescent="0.25">
      <c r="A16" s="4" t="s">
        <v>40</v>
      </c>
      <c r="B16" s="13">
        <v>900000</v>
      </c>
      <c r="C16" s="13">
        <v>1100000</v>
      </c>
      <c r="D16" s="13">
        <v>1400000</v>
      </c>
      <c r="E16" s="13">
        <v>1800000</v>
      </c>
      <c r="F16" s="13">
        <v>2300000</v>
      </c>
    </row>
    <row r="17" spans="1:6" x14ac:dyDescent="0.25">
      <c r="A17" s="4" t="s">
        <v>41</v>
      </c>
      <c r="B17" s="13">
        <v>3100000</v>
      </c>
      <c r="C17" s="13">
        <v>3500000</v>
      </c>
      <c r="D17" s="13">
        <v>4000000</v>
      </c>
      <c r="E17" s="13">
        <v>4600000</v>
      </c>
      <c r="F17" s="13">
        <v>5300000</v>
      </c>
    </row>
    <row r="18" spans="1:6" x14ac:dyDescent="0.25">
      <c r="A18" s="4" t="s">
        <v>42</v>
      </c>
      <c r="B18" s="13">
        <v>9500000</v>
      </c>
      <c r="C18" s="13">
        <v>10300000</v>
      </c>
      <c r="D18" s="13">
        <v>11400000</v>
      </c>
      <c r="E18" s="13">
        <v>12600000</v>
      </c>
      <c r="F18" s="13">
        <v>14000000</v>
      </c>
    </row>
    <row r="19" spans="1:6" x14ac:dyDescent="0.25">
      <c r="A19" s="4" t="s">
        <v>43</v>
      </c>
      <c r="B19" s="13">
        <v>1900000</v>
      </c>
      <c r="C19" s="13">
        <v>2000000</v>
      </c>
      <c r="D19" s="13">
        <v>2200000</v>
      </c>
      <c r="E19" s="13">
        <v>2400000</v>
      </c>
      <c r="F19" s="13">
        <v>2600000</v>
      </c>
    </row>
    <row r="20" spans="1:6" x14ac:dyDescent="0.25">
      <c r="A20" s="4" t="s">
        <v>44</v>
      </c>
      <c r="B20" s="13">
        <v>5400000</v>
      </c>
      <c r="C20" s="13">
        <v>5400000</v>
      </c>
      <c r="D20" s="13">
        <v>5500000</v>
      </c>
      <c r="E20" s="13">
        <v>5600000</v>
      </c>
      <c r="F20" s="13">
        <v>5800000</v>
      </c>
    </row>
    <row r="21" spans="1:6" x14ac:dyDescent="0.25">
      <c r="A21" s="4" t="s">
        <v>45</v>
      </c>
      <c r="B21" s="13">
        <v>3000000</v>
      </c>
      <c r="C21" s="13">
        <v>2800000</v>
      </c>
      <c r="D21" s="13">
        <v>2600000</v>
      </c>
      <c r="E21" s="13">
        <v>2400000</v>
      </c>
      <c r="F21" s="13">
        <v>2200000</v>
      </c>
    </row>
    <row r="22" spans="1:6" x14ac:dyDescent="0.25">
      <c r="A22" s="4" t="s">
        <v>46</v>
      </c>
      <c r="B22" s="13">
        <v>4100000</v>
      </c>
      <c r="C22" s="13">
        <v>4900000</v>
      </c>
      <c r="D22" s="13">
        <v>5900000</v>
      </c>
      <c r="E22" s="13">
        <v>7000000</v>
      </c>
      <c r="F22" s="13">
        <v>8200000</v>
      </c>
    </row>
    <row r="23" spans="1:6" x14ac:dyDescent="0.25">
      <c r="A23" s="4" t="s">
        <v>47</v>
      </c>
      <c r="B23" s="13">
        <v>450000</v>
      </c>
      <c r="C23" s="13">
        <v>500000</v>
      </c>
      <c r="D23" s="13">
        <v>600000</v>
      </c>
      <c r="E23" s="13">
        <v>700000</v>
      </c>
      <c r="F23" s="13">
        <v>800000</v>
      </c>
    </row>
    <row r="24" spans="1:6" x14ac:dyDescent="0.25">
      <c r="A24" s="4" t="s">
        <v>48</v>
      </c>
      <c r="B24" s="13">
        <v>1200000</v>
      </c>
      <c r="C24" s="13">
        <v>1400000</v>
      </c>
      <c r="D24" s="13">
        <v>1700000</v>
      </c>
      <c r="E24" s="13">
        <v>2000000</v>
      </c>
      <c r="F24" s="13">
        <v>2400000</v>
      </c>
    </row>
  </sheetData>
  <pageMargins left="0.7" right="0.7" top="0.75" bottom="0.75" header="0.3" footer="0.3"/>
  <pageSetup orientation="landscape" horizontalDpi="4294967295" verticalDpi="4294967295" scale="100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2545"/>
    <pageSetUpPr fitToPage="1"/>
  </sheetPr>
  <dimension ref="A1:G39"/>
  <sheetViews>
    <sheetView workbookViewId="0" showGridLines="0"/>
  </sheetViews>
  <sheetFormatPr defaultRowHeight="15" outlineLevelRow="0" outlineLevelCol="0" x14ac:dyDescent="55"/>
  <cols>
    <col min="1" max="1" width="40" customWidth="1"/>
    <col min="2" max="7" width="15" customWidth="1"/>
  </cols>
  <sheetData>
    <row r="1" spans="1:1" x14ac:dyDescent="0.25">
      <c r="A1" s="1" t="s">
        <v>49</v>
      </c>
    </row>
    <row r="2" spans="1:1" x14ac:dyDescent="0.25">
      <c r="A2" s="2" t="s">
        <v>50</v>
      </c>
    </row>
    <row r="3" spans="1:1" x14ac:dyDescent="0.25">
      <c r="A3" s="3" t="s">
        <v>2</v>
      </c>
    </row>
    <row r="5" spans="1:7" x14ac:dyDescent="0.25">
      <c r="A5" s="5" t="s">
        <v>51</v>
      </c>
      <c r="B5" s="5"/>
      <c r="C5" s="5"/>
      <c r="D5" s="5"/>
      <c r="E5" s="5"/>
      <c r="F5" s="5"/>
      <c r="G5" s="5"/>
    </row>
    <row r="6" spans="1:2" x14ac:dyDescent="0.25">
      <c r="A6" s="4" t="s">
        <v>52</v>
      </c>
      <c r="B6" s="14">
        <f>Historicals!$F$11</f>
        <v>3000000</v>
      </c>
    </row>
    <row r="7" spans="1:2" x14ac:dyDescent="0.25">
      <c r="A7" s="4" t="s">
        <v>53</v>
      </c>
      <c r="B7" s="15">
        <v>8</v>
      </c>
    </row>
    <row r="8" spans="1:2" x14ac:dyDescent="0.25">
      <c r="A8" s="4" t="s">
        <v>54</v>
      </c>
      <c r="B8" s="15">
        <v>4.5</v>
      </c>
    </row>
    <row r="9" spans="1:2" x14ac:dyDescent="0.25">
      <c r="A9" s="4" t="s">
        <v>55</v>
      </c>
      <c r="B9" s="16">
        <v>0.08</v>
      </c>
    </row>
    <row r="10" spans="1:2" x14ac:dyDescent="0.25">
      <c r="A10" s="4" t="s">
        <v>56</v>
      </c>
      <c r="B10" s="16">
        <v>0.124</v>
      </c>
    </row>
    <row r="11" spans="1:2" x14ac:dyDescent="0.25">
      <c r="A11" s="4" t="s">
        <v>57</v>
      </c>
      <c r="B11" s="15">
        <v>8</v>
      </c>
    </row>
    <row r="12" spans="1:2" x14ac:dyDescent="0.25">
      <c r="A12" s="4" t="s">
        <v>58</v>
      </c>
      <c r="B12" s="16">
        <v>0.25</v>
      </c>
    </row>
    <row r="13" spans="1:2" x14ac:dyDescent="0.25">
      <c r="A13" s="4" t="s">
        <v>59</v>
      </c>
      <c r="B13" s="16">
        <v>0.15</v>
      </c>
    </row>
    <row r="14" spans="1:2" x14ac:dyDescent="0.25">
      <c r="A14" s="4" t="s">
        <v>60</v>
      </c>
      <c r="B14" s="16">
        <v>1</v>
      </c>
    </row>
    <row r="15" spans="1:2" x14ac:dyDescent="0.25">
      <c r="A15" s="4" t="s">
        <v>61</v>
      </c>
      <c r="B15" s="16">
        <v>0.02</v>
      </c>
    </row>
    <row r="17" spans="1:7" x14ac:dyDescent="0.25">
      <c r="A17" s="5" t="s">
        <v>62</v>
      </c>
      <c r="B17" s="5"/>
      <c r="C17" s="5"/>
      <c r="D17" s="5"/>
      <c r="E17" s="5"/>
      <c r="F17" s="5"/>
      <c r="G17" s="5"/>
    </row>
    <row r="18" spans="1:2" x14ac:dyDescent="0.25">
      <c r="A18" s="4" t="s">
        <v>63</v>
      </c>
      <c r="B18" s="17">
        <f>$B$6*$B$7</f>
        <v>24000000</v>
      </c>
    </row>
    <row r="19" spans="1:2" x14ac:dyDescent="0.25">
      <c r="A19" s="4" t="s">
        <v>64</v>
      </c>
      <c r="B19" s="17">
        <f>B18*$B$15</f>
        <v>480000</v>
      </c>
    </row>
    <row r="20" spans="1:2" x14ac:dyDescent="0.25">
      <c r="A20" s="7" t="s">
        <v>65</v>
      </c>
      <c r="B20" s="18">
        <f>B18+B19</f>
        <v>24480000</v>
      </c>
    </row>
    <row r="21" spans="1:2" x14ac:dyDescent="0.25">
      <c r="A21" s="4" t="s">
        <v>66</v>
      </c>
      <c r="B21" s="17">
        <f>$B$6*$B$8</f>
        <v>13500000</v>
      </c>
    </row>
    <row r="22" spans="1:2" x14ac:dyDescent="0.25">
      <c r="A22" s="7" t="s">
        <v>67</v>
      </c>
      <c r="B22" s="19">
        <f>B20-B21</f>
        <v>10980000</v>
      </c>
    </row>
    <row r="24" spans="1:7" x14ac:dyDescent="0.25">
      <c r="A24" s="5" t="s">
        <v>68</v>
      </c>
      <c r="B24" s="5"/>
      <c r="C24" s="5"/>
      <c r="D24" s="5"/>
      <c r="E24" s="5"/>
      <c r="F24" s="5"/>
      <c r="G24" s="5"/>
    </row>
    <row r="25" spans="1:7" x14ac:dyDescent="0.25">
      <c r="A25" s="6" t="s">
        <v>69</v>
      </c>
      <c r="B25" s="12" t="s">
        <v>70</v>
      </c>
      <c r="C25" s="12" t="s">
        <v>71</v>
      </c>
      <c r="D25" s="12" t="s">
        <v>72</v>
      </c>
      <c r="E25" s="12" t="s">
        <v>73</v>
      </c>
      <c r="F25" s="12" t="s">
        <v>74</v>
      </c>
      <c r="G25" s="12" t="s">
        <v>75</v>
      </c>
    </row>
    <row r="26" spans="1:7" x14ac:dyDescent="0.25">
      <c r="A26" s="4" t="s">
        <v>35</v>
      </c>
      <c r="B26" s="17">
        <f>$B$6</f>
        <v>3000000</v>
      </c>
      <c r="C26" s="17">
        <f>B26*(1+$B$10)</f>
        <v>3372000.0000000005</v>
      </c>
      <c r="D26" s="17">
        <f>C26*(1+$B$10)</f>
        <v>3790128.000000001</v>
      </c>
      <c r="E26" s="17">
        <f>D26*(1+$B$10)</f>
        <v>4260103.872000001</v>
      </c>
      <c r="F26" s="17">
        <f>E26*(1+$B$10)</f>
        <v>4788356.752128002</v>
      </c>
      <c r="G26" s="17">
        <f>F26*(1+$B$10)</f>
        <v>5382112.989391875</v>
      </c>
    </row>
    <row r="27" spans="1:7" x14ac:dyDescent="0.25">
      <c r="A27" s="4" t="s">
        <v>76</v>
      </c>
      <c r="C27" s="17">
        <f>B32*$B$9</f>
        <v>1080000</v>
      </c>
      <c r="D27" s="17">
        <f>C32*$B$9</f>
        <v>972828</v>
      </c>
      <c r="E27" s="17">
        <f>D32*$B$9</f>
        <v>837901.1519999999</v>
      </c>
      <c r="F27" s="17">
        <f>E32*$B$9</f>
        <v>670909.9236479998</v>
      </c>
      <c r="G27" s="17">
        <f>F32*$B$9</f>
        <v>466958.32470835163</v>
      </c>
    </row>
    <row r="28" spans="1:7" x14ac:dyDescent="0.25">
      <c r="A28" s="4" t="s">
        <v>77</v>
      </c>
      <c r="C28" s="17">
        <f>C26*$B$13</f>
        <v>505800.00000000006</v>
      </c>
      <c r="D28" s="17">
        <f>D26*$B$13</f>
        <v>568519.2000000001</v>
      </c>
      <c r="E28" s="17">
        <f>E26*$B$13</f>
        <v>639015.5808000002</v>
      </c>
      <c r="F28" s="17">
        <f>F26*$B$13</f>
        <v>718253.5128192003</v>
      </c>
      <c r="G28" s="17">
        <f>G26*$B$13</f>
        <v>807316.9484087813</v>
      </c>
    </row>
    <row r="29" spans="1:7" x14ac:dyDescent="0.25">
      <c r="A29" s="4" t="s">
        <v>78</v>
      </c>
      <c r="C29" s="17">
        <f>MAX(0,(C26-C27-C28)*$B$12)</f>
        <v>446550.0000000001</v>
      </c>
      <c r="D29" s="17">
        <f>MAX(0,(D26-D27-D28)*$B$12)</f>
        <v>562195.2000000002</v>
      </c>
      <c r="E29" s="17">
        <f>MAX(0,(E26-E27-E28)*$B$12)</f>
        <v>695796.7848000004</v>
      </c>
      <c r="F29" s="17">
        <f>MAX(0,(F26-F27-F28)*$B$12)</f>
        <v>849798.3289152005</v>
      </c>
      <c r="G29" s="17">
        <f>MAX(0,(G26-G27-G28)*$B$12)</f>
        <v>1026959.4290686855</v>
      </c>
    </row>
    <row r="30" spans="1:7" x14ac:dyDescent="0.25">
      <c r="A30" s="7" t="s">
        <v>79</v>
      </c>
      <c r="C30" s="18">
        <f>C26-C27-C28-C29</f>
        <v>1339650.0000000005</v>
      </c>
      <c r="D30" s="18">
        <f>D26-D27-D28-D29</f>
        <v>1686585.6000000006</v>
      </c>
      <c r="E30" s="18">
        <f>E26-E27-E28-E29</f>
        <v>2087390.354400001</v>
      </c>
      <c r="F30" s="18">
        <f>F26-F27-F28-F29</f>
        <v>2549394.9867456015</v>
      </c>
      <c r="G30" s="18">
        <f>G26-G27-G28-G29</f>
        <v>3080878.2872060565</v>
      </c>
    </row>
    <row r="31" spans="1:7" x14ac:dyDescent="0.25">
      <c r="A31" s="4" t="s">
        <v>80</v>
      </c>
      <c r="C31" s="17">
        <f>MIN(B32,MAX(0,C30*$B$14))</f>
        <v>1339650.0000000005</v>
      </c>
      <c r="D31" s="17">
        <f>MIN(C32,MAX(0,D30*$B$14))</f>
        <v>1686585.6000000006</v>
      </c>
      <c r="E31" s="17">
        <f>MIN(D32,MAX(0,E30*$B$14))</f>
        <v>2087390.354400001</v>
      </c>
      <c r="F31" s="17">
        <f>MIN(E32,MAX(0,F30*$B$14))</f>
        <v>2549394.9867456015</v>
      </c>
      <c r="G31" s="17">
        <f>MIN(F32,MAX(0,G30*$B$14))</f>
        <v>3080878.2872060565</v>
      </c>
    </row>
    <row r="32" spans="1:7" x14ac:dyDescent="0.25">
      <c r="A32" s="4" t="s">
        <v>81</v>
      </c>
      <c r="B32" s="17">
        <f>B21</f>
        <v>13500000</v>
      </c>
      <c r="C32" s="17">
        <f>B32-C31</f>
        <v>12160350</v>
      </c>
      <c r="D32" s="17">
        <f>C32-D31</f>
        <v>10473764.399999999</v>
      </c>
      <c r="E32" s="17">
        <f>D32-E31</f>
        <v>8386374.045599997</v>
      </c>
      <c r="F32" s="17">
        <f>E32-F31</f>
        <v>5836979.0588543955</v>
      </c>
      <c r="G32" s="17">
        <f>F32-G31</f>
        <v>2756100.771648339</v>
      </c>
    </row>
    <row r="33" spans="1:7" x14ac:dyDescent="0.25">
      <c r="A33" s="4" t="s">
        <v>82</v>
      </c>
      <c r="B33" s="17">
        <v>0</v>
      </c>
      <c r="C33" s="17">
        <f>B33+C30-C31</f>
        <v>0</v>
      </c>
      <c r="D33" s="17">
        <f>C33+D30-D31</f>
        <v>0</v>
      </c>
      <c r="E33" s="17">
        <f>D33+E30-E31</f>
        <v>0</v>
      </c>
      <c r="F33" s="17">
        <f>E33+F30-F31</f>
        <v>0</v>
      </c>
      <c r="G33" s="17">
        <f>F33+G30-G31</f>
        <v>0</v>
      </c>
    </row>
    <row r="34" spans="1:7" x14ac:dyDescent="0.25">
      <c r="A34" s="7" t="s">
        <v>83</v>
      </c>
      <c r="B34" s="17">
        <f>B22</f>
        <v>10980000</v>
      </c>
      <c r="C34" s="17">
        <f>C26*$B$11-C32+C33</f>
        <v>14815650.000000004</v>
      </c>
      <c r="D34" s="17">
        <f>D26*$B$11-D32+D33</f>
        <v>19847259.60000001</v>
      </c>
      <c r="E34" s="17">
        <f>E26*$B$11-E32+E33</f>
        <v>25694456.930400014</v>
      </c>
      <c r="F34" s="17">
        <f>F26*$B$11-F32+F33</f>
        <v>32469874.958169624</v>
      </c>
      <c r="G34" s="17">
        <f>G26*$B$11-G32+G33</f>
        <v>40300803.14348666</v>
      </c>
    </row>
    <row r="36" spans="1:7" x14ac:dyDescent="0.25">
      <c r="A36" s="5" t="s">
        <v>84</v>
      </c>
      <c r="B36" s="5"/>
      <c r="C36" s="5"/>
      <c r="D36" s="5"/>
      <c r="E36" s="5"/>
      <c r="F36" s="5"/>
      <c r="G36" s="5"/>
    </row>
    <row r="37" spans="1:2" x14ac:dyDescent="0.25">
      <c r="A37" s="7" t="s">
        <v>85</v>
      </c>
      <c r="B37" s="19">
        <f>G34</f>
        <v>40300803.14348666</v>
      </c>
    </row>
    <row r="38" spans="1:2" x14ac:dyDescent="0.25">
      <c r="A38" s="7" t="s">
        <v>86</v>
      </c>
      <c r="B38" s="20">
        <f>B37/B22</f>
        <v>3.670382799953248</v>
      </c>
    </row>
    <row r="39" spans="1:2" x14ac:dyDescent="0.25">
      <c r="A39" s="7" t="s">
        <v>87</v>
      </c>
      <c r="B39" s="21">
        <f>MAX(0,B38)^(1/5)-1</f>
        <v>0.2970068572882325</v>
      </c>
    </row>
  </sheetData>
  <pageMargins left="0.7" right="0.7" top="0.75" bottom="0.75" header="0.3" footer="0.3"/>
  <pageSetup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Cover</vt:lpstr>
      <vt:lpstr>Historicals</vt:lpstr>
      <vt:lpstr>LBO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Finance Studio</dc:creator>
  <dc:title/>
  <dc:subject/>
  <dc:description/>
  <cp:keywords/>
  <cp:category/>
  <cp:lastModifiedBy>Unknown</cp:lastModifiedBy>
  <dcterms:created xsi:type="dcterms:W3CDTF">2026-10-29T16:47:44Z</dcterms:created>
  <dcterms:modified xsi:type="dcterms:W3CDTF">2026-10-29T16:47:44Z</dcterms:modified>
</cp:coreProperties>
</file>