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Historicals" state="visible" r:id="rId5"/>
    <sheet sheetId="3" name="Loan" state="visible" r:id="rId6"/>
  </sheets>
  <calcPr calcId="171027" fullCalcOnLoad="1"/>
</workbook>
</file>

<file path=xl/sharedStrings.xml><?xml version="1.0" encoding="utf-8"?>
<sst xmlns="http://schemas.openxmlformats.org/spreadsheetml/2006/main" count="71" uniqueCount="69">
  <si>
    <t>Financial Model: Aurora Retail Co.</t>
  </si>
  <si>
    <t>Prepared with Finance Studio on 10/29/2026</t>
  </si>
  <si>
    <t>Blue = input you can change · Green = linked to Historicals · Black = formula</t>
  </si>
  <si>
    <t>Source data</t>
  </si>
  <si>
    <t>Aurora Retail Co. · 2020–2024 (5 periods)</t>
  </si>
  <si>
    <t>Contents</t>
  </si>
  <si>
    <t>Sheet</t>
  </si>
  <si>
    <t>What it contains</t>
  </si>
  <si>
    <t>Historicals</t>
  </si>
  <si>
    <t>Your uploaded financial statements (the source for linked figures)</t>
  </si>
  <si>
    <t>Loan</t>
  </si>
  <si>
    <t>Amortizing loan schedule</t>
  </si>
  <si>
    <t>How to use this model</t>
  </si>
  <si>
    <t>Input</t>
  </si>
  <si>
    <t>Blue cells are inputs. Change them and every formula updates.</t>
  </si>
  <si>
    <t>Linked</t>
  </si>
  <si>
    <t>Green cells link to the Historicals sheet.</t>
  </si>
  <si>
    <t>Formula</t>
  </si>
  <si>
    <t>Black cells are formulas. Avoid typing over them.</t>
  </si>
  <si>
    <t>Output</t>
  </si>
  <si>
    <t>Shaded cells are key outputs.</t>
  </si>
  <si>
    <t>Models are planning tools based on the data and assumptions provided. They are not investment advice.</t>
  </si>
  <si>
    <t>Historical Financial Statements</t>
  </si>
  <si>
    <t>Aurora Retail Co. · as uploaded</t>
  </si>
  <si>
    <t>Financial statements</t>
  </si>
  <si>
    <t>Line item</t>
  </si>
  <si>
    <t>2020</t>
  </si>
  <si>
    <t>2021</t>
  </si>
  <si>
    <t>2022</t>
  </si>
  <si>
    <t>2023</t>
  </si>
  <si>
    <t>2024</t>
  </si>
  <si>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</si>
  <si>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</si>
  <si>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</si>
  <si>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</si>
  <si>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</si>
  <si>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</si>
  <si>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</si>
  <si>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</t>
  </si>
  <si>
    <t>Net Income</t>
  </si>
  <si>
    <t>Cash</t>
  </si>
  <si>
    <t>Current Assets</t>
  </si>
  <si>
    <t>Total Assets</t>
  </si>
  <si>
    <t>Current Liabilities</t>
  </si>
  <si>
    <t>Total Liabilities</t>
  </si>
  <si>
    <t>Total Debt</t>
  </si>
  <si>
    <t>Equity</t>
  </si>
  <si>
    <t>CapEx</t>
  </si>
  <si>
    <t>Operating Cash Flow</t>
  </si>
  <si>
    <t>Loan Amortization Schedule</t>
  </si>
  <si>
    <t>Aurora Retail Co. · debt service</t>
  </si>
  <si>
    <t>Assumptions</t>
  </si>
  <si>
    <t>Loan amount</t>
  </si>
  <si>
    <t>Annual interest rate</t>
  </si>
  <si>
    <t>Term (years)</t>
  </si>
  <si>
    <t>Payments per year</t>
  </si>
  <si>
    <t>Payment</t>
  </si>
  <si>
    <t>Periodic interest rate</t>
  </si>
  <si>
    <t>Number of payments</t>
  </si>
  <si>
    <t>Payment per period</t>
  </si>
  <si>
    <t>Total paid</t>
  </si>
  <si>
    <t>Total interest</t>
  </si>
  <si>
    <t>Annual schedule</t>
  </si>
  <si>
    <t>Year</t>
  </si>
  <si>
    <t>Opening balance</t>
  </si>
  <si>
    <t>Payments</t>
  </si>
  <si>
    <t>Interest</t>
  </si>
  <si>
    <t>Principal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</si>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</sst>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;&quot;–&quot;"/>
    <numFmt numFmtId="165" formatCode="0.0000%"/>
    <numFmt numFmtId="166" formatCode="$#,##0.00;($#,##0.00)"/>
  </numFmts>
  <fonts count="11" x14ac:knownFonts="1">
    <font>
      <color theme="1"/>
      <family val="2"/>
      <scheme val="minor"/>
      <sz val="11"/>
      <name val="Calibri"/>
    </font>
    <font>
      <b/>
      <color rgb="FF0B2545"/>
      <sz val="16"/>
    </font>
    <font>
      <i/>
      <color rgb="FF5C6B80"/>
      <sz val="10"/>
    </font>
    <font>
      <i/>
      <color rgb="FF7A8699"/>
      <sz val="9"/>
    </font>
    <font>
      <color rgb="FF14213D"/>
    </font>
    <font>
      <b/>
      <color rgb="FFFFFFFF"/>
    </font>
    <font>
      <b/>
      <color rgb="FF14213D"/>
    </font>
    <font>
      <color rgb="FF0000FF"/>
    </font>
    <font>
      <color rgb="FF00804A"/>
    </font>
    <font>
      <color rgb="FF000000"/>
    </font>
    <font>
      <b/>
      <color rgb="FF0B2545"/>
    </font>
  </fonts>
  <fills count="6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9EDF3"/>
      </patternFill>
    </fill>
    <fill>
      <patternFill patternType="solid">
        <fgColor rgb="FFFFF8E1"/>
      </patternFill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9AA5B5"/>
      </bottom>
      <diagonal/>
    </border>
    <border>
      <left/>
      <right/>
      <top style="thin">
        <color rgb="FF0B2545"/>
      </top>
      <bottom style="thin">
        <color rgb="FF0B254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10" fillId="5" borderId="2" xfId="0" applyFont="1" applyFill="1" applyBorder="1"/>
    <xf numFmtId="0" fontId="6" fillId="3" borderId="1" xfId="0" applyFont="1" applyFill="1" applyBorder="1" applyAlignment="1">
      <alignment horizontal="right"/>
    </xf>
    <xf numFmtId="164" fontId="7" fillId="4" borderId="0" xfId="0" applyNumberFormat="1" applyFont="1" applyFill="1"/>
    <xf numFmtId="164" fontId="8" fillId="0" borderId="0" xfId="0" applyNumberFormat="1" applyFont="1"/>
    <xf numFmtId="10" fontId="7" fillId="4" borderId="0" xfId="0" applyNumberFormat="1" applyFont="1" applyFill="1"/>
    <xf numFmtId="3" fontId="7" fillId="4" borderId="0" xfId="0" applyNumberFormat="1" applyFont="1" applyFill="1"/>
    <xf numFmtId="165" fontId="0" fillId="0" borderId="0" xfId="0" applyNumberFormat="1"/>
    <xf numFmtId="3" fontId="0" fillId="0" borderId="0" xfId="0" applyNumberFormat="1"/>
    <xf numFmtId="166" fontId="10" fillId="5" borderId="2" xfId="0" applyNumberFormat="1" applyFont="1" applyFill="1" applyBorder="1"/>
    <xf numFmtId="164" fontId="0" fillId="0" borderId="0" xfId="0" applyNumberFormat="1"/>
    <xf numFmtId="164" fontId="10" fillId="5" borderId="2" xfId="0" applyNumberFormat="1" applyFont="1" applyFill="1" applyBorder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C1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2" x14ac:dyDescent="0.25">
      <c r="A5" s="4" t="s">
        <v>3</v>
      </c>
      <c r="B5" s="4" t="s">
        <v>4</v>
      </c>
    </row>
    <row r="7" spans="1:3" x14ac:dyDescent="0.25">
      <c r="A7" s="5" t="s">
        <v>5</v>
      </c>
      <c r="B7" s="5"/>
      <c r="C7" s="5"/>
    </row>
    <row r="8" spans="1:2" x14ac:dyDescent="0.25">
      <c r="A8" s="6" t="s">
        <v>6</v>
      </c>
      <c r="B8" s="6" t="s">
        <v>7</v>
      </c>
    </row>
    <row r="9" spans="1:2" x14ac:dyDescent="0.25">
      <c r="A9" s="7" t="s">
        <v>8</v>
      </c>
      <c r="B9" s="4" t="s">
        <v>9</v>
      </c>
    </row>
    <row r="10" spans="1:2" x14ac:dyDescent="0.25">
      <c r="A10" s="7" t="s">
        <v>10</v>
      </c>
      <c r="B10" s="4" t="s">
        <v>11</v>
      </c>
    </row>
    <row r="12" spans="1:3" x14ac:dyDescent="0.25">
      <c r="A12" s="5" t="s">
        <v>12</v>
      </c>
      <c r="B12" s="5"/>
      <c r="C12" s="5"/>
    </row>
    <row r="13" spans="1:2" x14ac:dyDescent="0.25">
      <c r="A13" s="8" t="s">
        <v>13</v>
      </c>
      <c r="B13" s="4" t="s">
        <v>14</v>
      </c>
    </row>
    <row r="14" spans="1:2" x14ac:dyDescent="0.25">
      <c r="A14" s="9" t="s">
        <v>15</v>
      </c>
      <c r="B14" s="4" t="s">
        <v>16</v>
      </c>
    </row>
    <row r="15" spans="1:2" x14ac:dyDescent="0.25">
      <c r="A15" s="10" t="s">
        <v>17</v>
      </c>
      <c r="B15" s="4" t="s">
        <v>18</v>
      </c>
    </row>
    <row r="16" spans="1:2" x14ac:dyDescent="0.25">
      <c r="A16" s="11" t="s">
        <v>19</v>
      </c>
      <c r="B16" s="4" t="s">
        <v>20</v>
      </c>
    </row>
    <row r="18" spans="1:1" x14ac:dyDescent="0.25">
      <c r="A18" s="3" t="s">
        <v>21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5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3" spans="1:1" x14ac:dyDescent="0.25">
      <c r="A3" s="3" t="s">
        <v>2</v>
      </c>
    </row>
    <row r="5" spans="1:6" x14ac:dyDescent="0.25">
      <c r="A5" s="5" t="s">
        <v>24</v>
      </c>
      <c r="B5" s="5"/>
      <c r="C5" s="5"/>
      <c r="D5" s="5"/>
      <c r="E5" s="5"/>
      <c r="F5" s="5"/>
    </row>
    <row r="6" spans="1:6" x14ac:dyDescent="0.25">
      <c r="A6" s="6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</row>
    <row r="7" spans="1:6" x14ac:dyDescent="0.25">
      <c r="A7" s="4" t="s">
        <v>31</v>
      </c>
      <c r="B7" s="13">
        <v>8200000</v>
      </c>
      <c r="C7" s="13">
        <v>9100000</v>
      </c>
      <c r="D7" s="13">
        <v>10400000</v>
      </c>
      <c r="E7" s="13">
        <v>11800000</v>
      </c>
      <c r="F7" s="13">
        <v>13100000</v>
      </c>
    </row>
    <row r="8" spans="1:6" x14ac:dyDescent="0.25">
      <c r="A8" s="4" t="s">
        <v>32</v>
      </c>
      <c r="B8" s="13">
        <v>4900000</v>
      </c>
      <c r="C8" s="13">
        <v>5400000</v>
      </c>
      <c r="D8" s="13">
        <v>6100000</v>
      </c>
      <c r="E8" s="13">
        <v>6800000</v>
      </c>
      <c r="F8" s="13">
        <v>7500000</v>
      </c>
    </row>
    <row r="9" spans="1:6" x14ac:dyDescent="0.25">
      <c r="A9" s="4" t="s">
        <v>33</v>
      </c>
      <c r="B9" s="13">
        <v>3300000</v>
      </c>
      <c r="C9" s="13">
        <v>3700000</v>
      </c>
      <c r="D9" s="13">
        <v>4300000</v>
      </c>
      <c r="E9" s="13">
        <v>5000000</v>
      </c>
      <c r="F9" s="13">
        <v>5600000</v>
      </c>
    </row>
    <row r="10" spans="1:6" x14ac:dyDescent="0.25">
      <c r="A10" s="4" t="s">
        <v>34</v>
      </c>
      <c r="B10" s="13">
        <v>1800000</v>
      </c>
      <c r="C10" s="13">
        <v>1950000</v>
      </c>
      <c r="D10" s="13">
        <v>2150000</v>
      </c>
      <c r="E10" s="13">
        <v>2400000</v>
      </c>
      <c r="F10" s="13">
        <v>2600000</v>
      </c>
    </row>
    <row r="11" spans="1:6" x14ac:dyDescent="0.25">
      <c r="A11" s="4" t="s">
        <v>35</v>
      </c>
      <c r="B11" s="13">
        <v>1500000</v>
      </c>
      <c r="C11" s="13">
        <v>1750000</v>
      </c>
      <c r="D11" s="13">
        <v>2150000</v>
      </c>
      <c r="E11" s="13">
        <v>2600000</v>
      </c>
      <c r="F11" s="13">
        <v>3000000</v>
      </c>
    </row>
    <row r="12" spans="1:6" x14ac:dyDescent="0.25">
      <c r="A12" s="4" t="s">
        <v>36</v>
      </c>
      <c r="B12" s="13">
        <v>300000</v>
      </c>
      <c r="C12" s="13">
        <v>330000</v>
      </c>
      <c r="D12" s="13">
        <v>360000</v>
      </c>
      <c r="E12" s="13">
        <v>400000</v>
      </c>
      <c r="F12" s="13">
        <v>440000</v>
      </c>
    </row>
    <row r="13" spans="1:6" x14ac:dyDescent="0.25">
      <c r="A13" s="4" t="s">
        <v>37</v>
      </c>
      <c r="B13" s="13">
        <v>1200000</v>
      </c>
      <c r="C13" s="13">
        <v>1420000</v>
      </c>
      <c r="D13" s="13">
        <v>1790000</v>
      </c>
      <c r="E13" s="13">
        <v>2200000</v>
      </c>
      <c r="F13" s="13">
        <v>2560000</v>
      </c>
    </row>
    <row r="14" spans="1:6" x14ac:dyDescent="0.25">
      <c r="A14" s="4" t="s">
        <v>38</v>
      </c>
      <c r="B14" s="13">
        <v>180000</v>
      </c>
      <c r="C14" s="13">
        <v>170000</v>
      </c>
      <c r="D14" s="13">
        <v>160000</v>
      </c>
      <c r="E14" s="13">
        <v>150000</v>
      </c>
      <c r="F14" s="13">
        <v>140000</v>
      </c>
    </row>
    <row r="15" spans="1:6" x14ac:dyDescent="0.25">
      <c r="A15" s="4" t="s">
        <v>39</v>
      </c>
      <c r="B15" s="13">
        <v>765000</v>
      </c>
      <c r="C15" s="13">
        <v>937500</v>
      </c>
      <c r="D15" s="13">
        <v>1222500</v>
      </c>
      <c r="E15" s="13">
        <v>1537500</v>
      </c>
      <c r="F15" s="13">
        <v>1815000</v>
      </c>
    </row>
    <row r="16" spans="1:6" x14ac:dyDescent="0.25">
      <c r="A16" s="4" t="s">
        <v>40</v>
      </c>
      <c r="B16" s="13">
        <v>900000</v>
      </c>
      <c r="C16" s="13">
        <v>1100000</v>
      </c>
      <c r="D16" s="13">
        <v>1400000</v>
      </c>
      <c r="E16" s="13">
        <v>1800000</v>
      </c>
      <c r="F16" s="13">
        <v>2300000</v>
      </c>
    </row>
    <row r="17" spans="1:6" x14ac:dyDescent="0.25">
      <c r="A17" s="4" t="s">
        <v>41</v>
      </c>
      <c r="B17" s="13">
        <v>3100000</v>
      </c>
      <c r="C17" s="13">
        <v>3500000</v>
      </c>
      <c r="D17" s="13">
        <v>4000000</v>
      </c>
      <c r="E17" s="13">
        <v>4600000</v>
      </c>
      <c r="F17" s="13">
        <v>5300000</v>
      </c>
    </row>
    <row r="18" spans="1:6" x14ac:dyDescent="0.25">
      <c r="A18" s="4" t="s">
        <v>42</v>
      </c>
      <c r="B18" s="13">
        <v>9500000</v>
      </c>
      <c r="C18" s="13">
        <v>10300000</v>
      </c>
      <c r="D18" s="13">
        <v>11400000</v>
      </c>
      <c r="E18" s="13">
        <v>12600000</v>
      </c>
      <c r="F18" s="13">
        <v>14000000</v>
      </c>
    </row>
    <row r="19" spans="1:6" x14ac:dyDescent="0.25">
      <c r="A19" s="4" t="s">
        <v>43</v>
      </c>
      <c r="B19" s="13">
        <v>1900000</v>
      </c>
      <c r="C19" s="13">
        <v>2000000</v>
      </c>
      <c r="D19" s="13">
        <v>2200000</v>
      </c>
      <c r="E19" s="13">
        <v>2400000</v>
      </c>
      <c r="F19" s="13">
        <v>2600000</v>
      </c>
    </row>
    <row r="20" spans="1:6" x14ac:dyDescent="0.25">
      <c r="A20" s="4" t="s">
        <v>44</v>
      </c>
      <c r="B20" s="13">
        <v>5400000</v>
      </c>
      <c r="C20" s="13">
        <v>5400000</v>
      </c>
      <c r="D20" s="13">
        <v>5500000</v>
      </c>
      <c r="E20" s="13">
        <v>5600000</v>
      </c>
      <c r="F20" s="13">
        <v>5800000</v>
      </c>
    </row>
    <row r="21" spans="1:6" x14ac:dyDescent="0.25">
      <c r="A21" s="4" t="s">
        <v>45</v>
      </c>
      <c r="B21" s="13">
        <v>3000000</v>
      </c>
      <c r="C21" s="13">
        <v>2800000</v>
      </c>
      <c r="D21" s="13">
        <v>2600000</v>
      </c>
      <c r="E21" s="13">
        <v>2400000</v>
      </c>
      <c r="F21" s="13">
        <v>2200000</v>
      </c>
    </row>
    <row r="22" spans="1:6" x14ac:dyDescent="0.25">
      <c r="A22" s="4" t="s">
        <v>46</v>
      </c>
      <c r="B22" s="13">
        <v>4100000</v>
      </c>
      <c r="C22" s="13">
        <v>4900000</v>
      </c>
      <c r="D22" s="13">
        <v>5900000</v>
      </c>
      <c r="E22" s="13">
        <v>7000000</v>
      </c>
      <c r="F22" s="13">
        <v>8200000</v>
      </c>
    </row>
    <row r="23" spans="1:6" x14ac:dyDescent="0.25">
      <c r="A23" s="4" t="s">
        <v>47</v>
      </c>
      <c r="B23" s="13">
        <v>450000</v>
      </c>
      <c r="C23" s="13">
        <v>500000</v>
      </c>
      <c r="D23" s="13">
        <v>600000</v>
      </c>
      <c r="E23" s="13">
        <v>700000</v>
      </c>
      <c r="F23" s="13">
        <v>800000</v>
      </c>
    </row>
    <row r="24" spans="1:6" x14ac:dyDescent="0.25">
      <c r="A24" s="4" t="s">
        <v>48</v>
      </c>
      <c r="B24" s="13">
        <v>1200000</v>
      </c>
      <c r="C24" s="13">
        <v>1400000</v>
      </c>
      <c r="D24" s="13">
        <v>1700000</v>
      </c>
      <c r="E24" s="13">
        <v>2000000</v>
      </c>
      <c r="F24" s="13">
        <v>2400000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G26"/>
  <sheetViews>
    <sheetView workbookViewId="0" showGridLines="0"/>
  </sheetViews>
  <sheetFormatPr defaultRowHeight="15" outlineLevelRow="0" outlineLevelCol="0" x14ac:dyDescent="55"/>
  <cols>
    <col min="1" max="1" width="40" customWidth="1"/>
    <col min="2" max="6" width="16" customWidth="1"/>
  </cols>
  <sheetData>
    <row r="1" spans="1:1" x14ac:dyDescent="0.25">
      <c r="A1" s="1" t="s">
        <v>49</v>
      </c>
    </row>
    <row r="2" spans="1:1" x14ac:dyDescent="0.25">
      <c r="A2" s="2" t="s">
        <v>50</v>
      </c>
    </row>
    <row r="3" spans="1:1" x14ac:dyDescent="0.25">
      <c r="A3" s="3" t="s">
        <v>2</v>
      </c>
    </row>
    <row r="5" spans="1:7" x14ac:dyDescent="0.25">
      <c r="A5" s="5" t="s">
        <v>51</v>
      </c>
      <c r="B5" s="5"/>
      <c r="C5" s="5"/>
      <c r="D5" s="5"/>
      <c r="E5" s="5"/>
      <c r="F5" s="5"/>
      <c r="G5" s="5"/>
    </row>
    <row r="6" spans="1:2" x14ac:dyDescent="0.25">
      <c r="A6" s="4" t="s">
        <v>52</v>
      </c>
      <c r="B6" s="14">
        <f>Historicals!$F$21</f>
        <v>2200000</v>
      </c>
    </row>
    <row r="7" spans="1:2" x14ac:dyDescent="0.25">
      <c r="A7" s="4" t="s">
        <v>53</v>
      </c>
      <c r="B7" s="15">
        <v>0.064</v>
      </c>
    </row>
    <row r="8" spans="1:2" x14ac:dyDescent="0.25">
      <c r="A8" s="4" t="s">
        <v>54</v>
      </c>
      <c r="B8" s="16">
        <v>7</v>
      </c>
    </row>
    <row r="9" spans="1:2" x14ac:dyDescent="0.25">
      <c r="A9" s="4" t="s">
        <v>55</v>
      </c>
      <c r="B9" s="16">
        <v>12</v>
      </c>
    </row>
    <row r="11" spans="1:7" x14ac:dyDescent="0.25">
      <c r="A11" s="5" t="s">
        <v>56</v>
      </c>
      <c r="B11" s="5"/>
      <c r="C11" s="5"/>
      <c r="D11" s="5"/>
      <c r="E11" s="5"/>
      <c r="F11" s="5"/>
      <c r="G11" s="5"/>
    </row>
    <row r="12" spans="1:2" x14ac:dyDescent="0.25">
      <c r="A12" s="4" t="s">
        <v>57</v>
      </c>
      <c r="B12" s="17">
        <f>$B$7/$B$9</f>
        <v>0.005333333333333333</v>
      </c>
    </row>
    <row r="13" spans="1:2" x14ac:dyDescent="0.25">
      <c r="A13" s="4" t="s">
        <v>58</v>
      </c>
      <c r="B13" s="18">
        <f>$B$8*$B$9</f>
        <v>84</v>
      </c>
    </row>
    <row r="14" spans="1:2" x14ac:dyDescent="0.25">
      <c r="A14" s="7" t="s">
        <v>59</v>
      </c>
      <c r="B14" s="19">
        <f>PMT($B$12,$B$13,-$B$6)</f>
        <v>32562.35591072205</v>
      </c>
    </row>
    <row r="15" spans="1:2" x14ac:dyDescent="0.25">
      <c r="A15" s="4" t="s">
        <v>60</v>
      </c>
      <c r="B15" s="20">
        <f>$B$14*$B$13</f>
        <v>2735237.896500652</v>
      </c>
    </row>
    <row r="16" spans="1:2" x14ac:dyDescent="0.25">
      <c r="A16" s="7" t="s">
        <v>61</v>
      </c>
      <c r="B16" s="21">
        <f>B15-$B$6</f>
        <v>535237.8965006522</v>
      </c>
    </row>
    <row r="18" spans="1:7" x14ac:dyDescent="0.25">
      <c r="A18" s="5" t="s">
        <v>62</v>
      </c>
      <c r="B18" s="5"/>
      <c r="C18" s="5"/>
      <c r="D18" s="5"/>
      <c r="E18" s="5"/>
      <c r="F18" s="5"/>
      <c r="G18" s="5"/>
    </row>
    <row r="19" spans="1:6" x14ac:dyDescent="0.25">
      <c r="A19" s="6" t="s">
        <v>63</v>
      </c>
      <c r="B19" s="12" t="s">
        <v>64</v>
      </c>
      <c r="C19" s="12" t="s">
        <v>65</v>
      </c>
      <c r="D19" s="12" t="s">
        <v>66</v>
      </c>
      <c r="E19" s="12" t="s">
        <v>67</v>
      </c>
      <c r="F19" s="12" t="s">
        <v>68</v>
      </c>
    </row>
    <row r="20" spans="1:6" x14ac:dyDescent="0.25">
      <c r="A20" s="22">
        <v>1</v>
      </c>
      <c r="B20" s="20">
        <f>$B$6</f>
        <v>2200000</v>
      </c>
      <c r="C20" s="20">
        <f>$B$14*$B$9</f>
        <v>390748.2709286646</v>
      </c>
      <c r="D20" s="20">
        <f>C20-E20</f>
        <v>133336.26310680807</v>
      </c>
      <c r="E20" s="20">
        <f>B20-F20</f>
        <v>257412.00782185653</v>
      </c>
      <c r="F20" s="20">
        <f>MAX(0,$B$6*(1+$B$12)^(1*$B$9)-$B$14*((1+$B$12)^(1*$B$9)-1)/$B$12)</f>
        <v>1942587.9921781435</v>
      </c>
    </row>
    <row r="21" spans="1:6" x14ac:dyDescent="0.25">
      <c r="A21" s="22">
        <v>2</v>
      </c>
      <c r="B21" s="20">
        <f>F20</f>
        <v>1942587.9921781435</v>
      </c>
      <c r="C21" s="20">
        <f>$B$14*$B$9</f>
        <v>390748.2709286646</v>
      </c>
      <c r="D21" s="20">
        <f>C21-E21</f>
        <v>116369.9514072719</v>
      </c>
      <c r="E21" s="20">
        <f>B21-F21</f>
        <v>274378.3195213927</v>
      </c>
      <c r="F21" s="20">
        <f>MAX(0,$B$6*(1+$B$12)^(2*$B$9)-$B$14*((1+$B$12)^(2*$B$9)-1)/$B$12)</f>
        <v>1668209.6726567508</v>
      </c>
    </row>
    <row r="22" spans="1:6" x14ac:dyDescent="0.25">
      <c r="A22" s="22">
        <v>3</v>
      </c>
      <c r="B22" s="20">
        <f>F21</f>
        <v>1668209.6726567508</v>
      </c>
      <c r="C22" s="20">
        <f>$B$14*$B$9</f>
        <v>390748.2709286646</v>
      </c>
      <c r="D22" s="20">
        <f>C22-E22</f>
        <v>98285.371235637</v>
      </c>
      <c r="E22" s="20">
        <f>B22-F22</f>
        <v>292462.8996930276</v>
      </c>
      <c r="F22" s="20">
        <f>MAX(0,$B$6*(1+$B$12)^(3*$B$9)-$B$14*((1+$B$12)^(3*$B$9)-1)/$B$12)</f>
        <v>1375746.7729637232</v>
      </c>
    </row>
    <row r="23" spans="1:6" x14ac:dyDescent="0.25">
      <c r="A23" s="22">
        <v>4</v>
      </c>
      <c r="B23" s="20">
        <f>F22</f>
        <v>1375746.7729637232</v>
      </c>
      <c r="C23" s="20">
        <f>$B$14*$B$9</f>
        <v>390748.2709286646</v>
      </c>
      <c r="D23" s="20">
        <f>C23-E23</f>
        <v>79008.8162733044</v>
      </c>
      <c r="E23" s="20">
        <f>B23-F23</f>
        <v>311739.4546553602</v>
      </c>
      <c r="F23" s="20">
        <f>MAX(0,$B$6*(1+$B$12)^(4*$B$9)-$B$14*((1+$B$12)^(4*$B$9)-1)/$B$12)</f>
        <v>1064007.318308363</v>
      </c>
    </row>
    <row r="24" spans="1:6" x14ac:dyDescent="0.25">
      <c r="A24" s="22">
        <v>5</v>
      </c>
      <c r="B24" s="20">
        <f>F23</f>
        <v>1064007.318308363</v>
      </c>
      <c r="C24" s="20">
        <f>$B$14*$B$9</f>
        <v>390748.2709286646</v>
      </c>
      <c r="D24" s="20">
        <f>C24-E24</f>
        <v>58461.72213623929</v>
      </c>
      <c r="E24" s="20">
        <f>B24-F24</f>
        <v>332286.5487924253</v>
      </c>
      <c r="F24" s="20">
        <f>MAX(0,$B$6*(1+$B$12)^(5*$B$9)-$B$14*((1+$B$12)^(5*$B$9)-1)/$B$12)</f>
        <v>731720.7695159377</v>
      </c>
    </row>
    <row r="25" spans="1:6" x14ac:dyDescent="0.25">
      <c r="A25" s="22">
        <v>6</v>
      </c>
      <c r="B25" s="20">
        <f>F24</f>
        <v>731720.7695159377</v>
      </c>
      <c r="C25" s="20">
        <f>$B$14*$B$9</f>
        <v>390748.2709286646</v>
      </c>
      <c r="D25" s="20">
        <f>C25-E25</f>
        <v>36560.34617448645</v>
      </c>
      <c r="E25" s="20">
        <f>B25-F25</f>
        <v>354187.92475417815</v>
      </c>
      <c r="F25" s="20">
        <f>MAX(0,$B$6*(1+$B$12)^(6*$B$9)-$B$14*((1+$B$12)^(6*$B$9)-1)/$B$12)</f>
        <v>377532.8447617595</v>
      </c>
    </row>
    <row r="26" spans="1:6" x14ac:dyDescent="0.25">
      <c r="A26" s="22">
        <v>7</v>
      </c>
      <c r="B26" s="20">
        <f>F25</f>
        <v>377532.8447617595</v>
      </c>
      <c r="C26" s="20">
        <f>$B$14*$B$9</f>
        <v>390748.2709286646</v>
      </c>
      <c r="D26" s="20">
        <f>C26-E26</f>
        <v>13215.426166905556</v>
      </c>
      <c r="E26" s="20">
        <f>B26-F26</f>
        <v>377532.84476175904</v>
      </c>
      <c r="F26" s="20">
        <f>MAX(0,$B$6*(1+$B$12)^(7*$B$9)-$B$14*((1+$B$12)^(7*$B$9)-1)/$B$12)</f>
        <v>4.656612873077393e-10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Historicals</vt:lpstr>
      <vt:lpstr>Loan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Studio</dc:creator>
  <dc:title/>
  <dc:subject/>
  <dc:description/>
  <cp:keywords/>
  <cp:category/>
  <cp:lastModifiedBy>Unknown</cp:lastModifiedBy>
  <dcterms:created xsi:type="dcterms:W3CDTF">2026-10-29T16:47:44Z</dcterms:created>
  <dcterms:modified xsi:type="dcterms:W3CDTF">2026-10-29T16:47:44Z</dcterms:modified>
</cp:coreProperties>
</file>