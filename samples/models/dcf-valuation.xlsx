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Historicals" state="visible" r:id="rId5"/>
    <sheet sheetId="3" name="DCF" state="visible" r:id="rId6"/>
  </sheets>
  <calcPr calcId="171027" fullCalcOnLoad="1"/>
</workbook>
</file>

<file path=xl/sharedStrings.xml><?xml version="1.0" encoding="utf-8"?>
<sst xmlns="http://schemas.openxmlformats.org/spreadsheetml/2006/main" count="95" uniqueCount="90">
  <si>
    <t>Financial Model: Aurora Retail Co.</t>
  </si>
  <si>
    <t>Prepared with Finance Studio on 10/29/2026</t>
  </si>
  <si>
    <t>Blue = input you can change · Green = linked to Historicals · Black = formula</t>
  </si>
  <si>
    <t>Source data</t>
  </si>
  <si>
    <t>Aurora Retail Co. · 2020–2024 (5 periods)</t>
  </si>
  <si>
    <t>Contents</t>
  </si>
  <si>
    <t>Sheet</t>
  </si>
  <si>
    <t>What it contains</t>
  </si>
  <si>
    <t>Historicals</t>
  </si>
  <si>
    <t>Your uploaded financial statements (the source for linked figures)</t>
  </si>
  <si>
    <t>DCF</t>
  </si>
  <si>
    <t>Discounted cash flow valuation with sensitivity table</t>
  </si>
  <si>
    <t>How to use this model</t>
  </si>
  <si>
    <t>Input</t>
  </si>
  <si>
    <t>Blue cells are inputs. Change them and every formula updates.</t>
  </si>
  <si>
    <t>Linked</t>
  </si>
  <si>
    <t>Green cells link to the Historicals sheet.</t>
  </si>
  <si>
    <t>Formula</t>
  </si>
  <si>
    <t>Black cells are formulas. Avoid typing over them.</t>
  </si>
  <si>
    <t>Output</t>
  </si>
  <si>
    <t>Shaded cells are key outputs.</t>
  </si>
  <si>
    <t>Models are planning tools based on the data and assumptions provided. They are not investment advice.</t>
  </si>
  <si>
    <t>Historical Financial Statements</t>
  </si>
  <si>
    <t>Aurora Retail Co. · as uploaded</t>
  </si>
  <si>
    <t>Financial statements</t>
  </si>
  <si>
    <t>Line item</t>
  </si>
  <si>
    <t>2020</t>
  </si>
  <si>
    <t>2021</t>
  </si>
  <si>
    <t>2022</t>
  </si>
  <si>
    <t>2023</t>
  </si>
  <si>
    <t>2024</t>
  </si>
  <si>
    <t>Revenue</t>
  </si>
  <si>
    <t>Cost of Goods Sold</t>
  </si>
  <si>
    <t>Gross Profit</t>
  </si>
  <si>
    <t>Operating Expenses</t>
  </si>
  <si>
    <t>EBITDA</t>
  </si>
  <si>
    <t>D&amp;A</t>
  </si>
  <si>
    <t>EBIT</t>
  </si>
  <si>
    <t>Interest Expense</t>
  </si>
  <si>
    <t>Net Income</t>
  </si>
  <si>
    <t>Cash</t>
  </si>
  <si>
    <t>Current Assets</t>
  </si>
  <si>
    <t>Total Assets</t>
  </si>
  <si>
    <t>Current Liabilities</t>
  </si>
  <si>
    <t>Total Liabilities</t>
  </si>
  <si>
    <t>Total Debt</t>
  </si>
  <si>
    <t>Equity</t>
  </si>
  <si>
    <t>CapEx</t>
  </si>
  <si>
    <t>Operating Cash Flow</t>
  </si>
  <si>
    <t>DCF Valuation</t>
  </si>
  <si>
    <t>Aurora Retail Co. · discounted cash flow</t>
  </si>
  <si>
    <t>Assumptions</t>
  </si>
  <si>
    <t>Base revenue (last actual year)</t>
  </si>
  <si>
    <t>Revenue growth</t>
  </si>
  <si>
    <t>EBITDA margin</t>
  </si>
  <si>
    <t>D&amp;A % of revenue</t>
  </si>
  <si>
    <t>CapEx % of revenue</t>
  </si>
  <si>
    <t>Working capital % of new revenue</t>
  </si>
  <si>
    <t>Tax rate</t>
  </si>
  <si>
    <t>WACC (discount rate)</t>
  </si>
  <si>
    <t>Terminal growth</t>
  </si>
  <si>
    <t>Net debt</t>
  </si>
  <si>
    <t>Total debt less cash</t>
  </si>
  <si>
    <t>Shares outstanding</t>
  </si>
  <si>
    <t>Free cash flow projection</t>
  </si>
  <si>
    <t>Fiscal year</t>
  </si>
  <si>
    <t>2025E</t>
  </si>
  <si>
    <t>2026E</t>
  </si>
  <si>
    <t>2027E</t>
  </si>
  <si>
    <t>2028E</t>
  </si>
  <si>
    <t>2029E</t>
  </si>
  <si>
    <t>Depreciation &amp; amortization</t>
  </si>
  <si>
    <t>Taxes on EBIT</t>
  </si>
  <si>
    <t>NOPAT</t>
  </si>
  <si>
    <t>Capital expenditure</t>
  </si>
  <si>
    <t>Increase in working capital</t>
  </si>
  <si>
    <t>Unlevered free cash flow</t>
  </si>
  <si>
    <t>Discount factor</t>
  </si>
  <si>
    <t>Present value of FCF</t>
  </si>
  <si>
    <t>Valuation</t>
  </si>
  <si>
    <t>Sum of PV of free cash flows</t>
  </si>
  <si>
    <t>Terminal value (Gordon growth)</t>
  </si>
  <si>
    <t>PV of terminal value</t>
  </si>
  <si>
    <t>Enterprise value</t>
  </si>
  <si>
    <t>Less: net debt</t>
  </si>
  <si>
    <t>Equity value</t>
  </si>
  <si>
    <t>Value per share</t>
  </si>
  <si>
    <t>Terminal value as % of EV</t>
  </si>
  <si>
    <t>Sensitivity: enterprise value</t>
  </si>
  <si>
    <t>WACC ↓   Terminal growth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</si>
</sst>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(#,##0);&quot;–&quot;"/>
    <numFmt numFmtId="165" formatCode="0.0%"/>
    <numFmt numFmtId="166" formatCode="0.0000"/>
    <numFmt numFmtId="167" formatCode="$#,##0.00;($#,##0.00)"/>
  </numFmts>
  <fonts count="12" x14ac:knownFonts="1">
    <font>
      <color theme="1"/>
      <family val="2"/>
      <scheme val="minor"/>
      <sz val="11"/>
      <name val="Calibri"/>
    </font>
    <font>
      <b/>
      <color rgb="FF0B2545"/>
      <sz val="16"/>
    </font>
    <font>
      <i/>
      <color rgb="FF5C6B80"/>
      <sz val="10"/>
    </font>
    <font>
      <i/>
      <color rgb="FF7A8699"/>
      <sz val="9"/>
    </font>
    <font>
      <color rgb="FF14213D"/>
    </font>
    <font>
      <b/>
      <color rgb="FFFFFFFF"/>
    </font>
    <font>
      <b/>
      <color rgb="FF14213D"/>
    </font>
    <font>
      <color rgb="FF0000FF"/>
    </font>
    <font>
      <color rgb="FF00804A"/>
    </font>
    <font>
      <color rgb="FF000000"/>
    </font>
    <font>
      <b/>
      <color rgb="FF0B2545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E9EDF3"/>
      </patternFill>
    </fill>
    <fill>
      <patternFill patternType="solid">
        <fgColor rgb="FFFFF8E1"/>
      </patternFill>
    </fill>
    <fill>
      <patternFill patternType="solid">
        <fgColor rgb="FFDCE6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9AA5B5"/>
      </bottom>
      <diagonal/>
    </border>
    <border>
      <left/>
      <right/>
      <top style="thin">
        <color rgb="FF0B2545"/>
      </top>
      <bottom style="thin">
        <color rgb="FF0B2545"/>
      </bottom>
      <diagonal/>
    </border>
    <border>
      <left/>
      <right/>
      <top style="thin">
        <color rgb="FF9AA5B5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3" borderId="1" xfId="0" applyFont="1" applyFill="1" applyBorder="1"/>
    <xf numFmtId="0" fontId="6" fillId="0" borderId="0" xfId="0" applyFont="1"/>
    <xf numFmtId="0" fontId="7" fillId="4" borderId="0" xfId="0" applyFont="1" applyFill="1"/>
    <xf numFmtId="0" fontId="8" fillId="0" borderId="0" xfId="0" applyFont="1"/>
    <xf numFmtId="0" fontId="9" fillId="0" borderId="0" xfId="0" applyFont="1"/>
    <xf numFmtId="0" fontId="10" fillId="5" borderId="2" xfId="0" applyFont="1" applyFill="1" applyBorder="1"/>
    <xf numFmtId="0" fontId="6" fillId="3" borderId="1" xfId="0" applyFont="1" applyFill="1" applyBorder="1" applyAlignment="1">
      <alignment horizontal="right"/>
    </xf>
    <xf numFmtId="164" fontId="7" fillId="4" borderId="0" xfId="0" applyNumberFormat="1" applyFont="1" applyFill="1"/>
    <xf numFmtId="164" fontId="8" fillId="0" borderId="0" xfId="0" applyNumberFormat="1" applyFont="1"/>
    <xf numFmtId="165" fontId="7" fillId="4" borderId="0" xfId="0" applyNumberFormat="1" applyFont="1" applyFill="1"/>
    <xf numFmtId="3" fontId="7" fillId="4" borderId="0" xfId="0" applyNumberFormat="1" applyFont="1" applyFill="1"/>
    <xf numFmtId="164" fontId="0" fillId="0" borderId="0" xfId="0" applyNumberFormat="1"/>
    <xf numFmtId="164" fontId="11" fillId="0" borderId="3" xfId="0" applyNumberFormat="1" applyFont="1" applyBorder="1"/>
    <xf numFmtId="166" fontId="0" fillId="0" borderId="0" xfId="0" applyNumberFormat="1"/>
    <xf numFmtId="164" fontId="10" fillId="5" borderId="2" xfId="0" applyNumberFormat="1" applyFont="1" applyFill="1" applyBorder="1"/>
    <xf numFmtId="167" fontId="10" fillId="5" borderId="2" xfId="0" applyNumberFormat="1" applyFont="1" applyFill="1" applyBorder="1"/>
    <xf numFmtId="165" fontId="0" fillId="0" borderId="0" xfId="0" applyNumberFormat="1"/>
    <xf numFmtId="165" fontId="6" fillId="3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18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5" spans="1:2" x14ac:dyDescent="0.25">
      <c r="A5" s="4" t="s">
        <v>3</v>
      </c>
      <c r="B5" s="4" t="s">
        <v>4</v>
      </c>
    </row>
    <row r="7" spans="1:3" x14ac:dyDescent="0.25">
      <c r="A7" s="5" t="s">
        <v>5</v>
      </c>
      <c r="B7" s="5"/>
      <c r="C7" s="5"/>
    </row>
    <row r="8" spans="1:2" x14ac:dyDescent="0.25">
      <c r="A8" s="6" t="s">
        <v>6</v>
      </c>
      <c r="B8" s="6" t="s">
        <v>7</v>
      </c>
    </row>
    <row r="9" spans="1:2" x14ac:dyDescent="0.25">
      <c r="A9" s="7" t="s">
        <v>8</v>
      </c>
      <c r="B9" s="4" t="s">
        <v>9</v>
      </c>
    </row>
    <row r="10" spans="1:2" x14ac:dyDescent="0.25">
      <c r="A10" s="7" t="s">
        <v>10</v>
      </c>
      <c r="B10" s="4" t="s">
        <v>11</v>
      </c>
    </row>
    <row r="12" spans="1:3" x14ac:dyDescent="0.25">
      <c r="A12" s="5" t="s">
        <v>12</v>
      </c>
      <c r="B12" s="5"/>
      <c r="C12" s="5"/>
    </row>
    <row r="13" spans="1:2" x14ac:dyDescent="0.25">
      <c r="A13" s="8" t="s">
        <v>13</v>
      </c>
      <c r="B13" s="4" t="s">
        <v>14</v>
      </c>
    </row>
    <row r="14" spans="1:2" x14ac:dyDescent="0.25">
      <c r="A14" s="9" t="s">
        <v>15</v>
      </c>
      <c r="B14" s="4" t="s">
        <v>16</v>
      </c>
    </row>
    <row r="15" spans="1:2" x14ac:dyDescent="0.25">
      <c r="A15" s="10" t="s">
        <v>17</v>
      </c>
      <c r="B15" s="4" t="s">
        <v>18</v>
      </c>
    </row>
    <row r="16" spans="1:2" x14ac:dyDescent="0.25">
      <c r="A16" s="11" t="s">
        <v>19</v>
      </c>
      <c r="B16" s="4" t="s">
        <v>20</v>
      </c>
    </row>
    <row r="18" spans="1:1" x14ac:dyDescent="0.25">
      <c r="A18" s="3" t="s">
        <v>21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F24"/>
  <sheetViews>
    <sheetView workbookViewId="0" showGridLines="0"/>
  </sheetViews>
  <sheetFormatPr defaultRowHeight="15" outlineLevelRow="0" outlineLevelCol="0" x14ac:dyDescent="55"/>
  <cols>
    <col min="1" max="1" width="34" customWidth="1"/>
    <col min="2" max="6" width="15" customWidth="1"/>
  </cols>
  <sheetData>
    <row r="1" spans="1:1" x14ac:dyDescent="0.25">
      <c r="A1" s="1" t="s">
        <v>22</v>
      </c>
    </row>
    <row r="2" spans="1:1" x14ac:dyDescent="0.25">
      <c r="A2" s="2" t="s">
        <v>23</v>
      </c>
    </row>
    <row r="3" spans="1:1" x14ac:dyDescent="0.25">
      <c r="A3" s="3" t="s">
        <v>2</v>
      </c>
    </row>
    <row r="5" spans="1:6" x14ac:dyDescent="0.25">
      <c r="A5" s="5" t="s">
        <v>24</v>
      </c>
      <c r="B5" s="5"/>
      <c r="C5" s="5"/>
      <c r="D5" s="5"/>
      <c r="E5" s="5"/>
      <c r="F5" s="5"/>
    </row>
    <row r="6" spans="1:6" x14ac:dyDescent="0.25">
      <c r="A6" s="6" t="s">
        <v>25</v>
      </c>
      <c r="B6" s="12" t="s">
        <v>26</v>
      </c>
      <c r="C6" s="12" t="s">
        <v>27</v>
      </c>
      <c r="D6" s="12" t="s">
        <v>28</v>
      </c>
      <c r="E6" s="12" t="s">
        <v>29</v>
      </c>
      <c r="F6" s="12" t="s">
        <v>30</v>
      </c>
    </row>
    <row r="7" spans="1:6" x14ac:dyDescent="0.25">
      <c r="A7" s="4" t="s">
        <v>31</v>
      </c>
      <c r="B7" s="13">
        <v>8200000</v>
      </c>
      <c r="C7" s="13">
        <v>9100000</v>
      </c>
      <c r="D7" s="13">
        <v>10400000</v>
      </c>
      <c r="E7" s="13">
        <v>11800000</v>
      </c>
      <c r="F7" s="13">
        <v>13100000</v>
      </c>
    </row>
    <row r="8" spans="1:6" x14ac:dyDescent="0.25">
      <c r="A8" s="4" t="s">
        <v>32</v>
      </c>
      <c r="B8" s="13">
        <v>4900000</v>
      </c>
      <c r="C8" s="13">
        <v>5400000</v>
      </c>
      <c r="D8" s="13">
        <v>6100000</v>
      </c>
      <c r="E8" s="13">
        <v>6800000</v>
      </c>
      <c r="F8" s="13">
        <v>7500000</v>
      </c>
    </row>
    <row r="9" spans="1:6" x14ac:dyDescent="0.25">
      <c r="A9" s="4" t="s">
        <v>33</v>
      </c>
      <c r="B9" s="13">
        <v>3300000</v>
      </c>
      <c r="C9" s="13">
        <v>3700000</v>
      </c>
      <c r="D9" s="13">
        <v>4300000</v>
      </c>
      <c r="E9" s="13">
        <v>5000000</v>
      </c>
      <c r="F9" s="13">
        <v>5600000</v>
      </c>
    </row>
    <row r="10" spans="1:6" x14ac:dyDescent="0.25">
      <c r="A10" s="4" t="s">
        <v>34</v>
      </c>
      <c r="B10" s="13">
        <v>1800000</v>
      </c>
      <c r="C10" s="13">
        <v>1950000</v>
      </c>
      <c r="D10" s="13">
        <v>2150000</v>
      </c>
      <c r="E10" s="13">
        <v>2400000</v>
      </c>
      <c r="F10" s="13">
        <v>2600000</v>
      </c>
    </row>
    <row r="11" spans="1:6" x14ac:dyDescent="0.25">
      <c r="A11" s="4" t="s">
        <v>35</v>
      </c>
      <c r="B11" s="13">
        <v>1500000</v>
      </c>
      <c r="C11" s="13">
        <v>1750000</v>
      </c>
      <c r="D11" s="13">
        <v>2150000</v>
      </c>
      <c r="E11" s="13">
        <v>2600000</v>
      </c>
      <c r="F11" s="13">
        <v>3000000</v>
      </c>
    </row>
    <row r="12" spans="1:6" x14ac:dyDescent="0.25">
      <c r="A12" s="4" t="s">
        <v>36</v>
      </c>
      <c r="B12" s="13">
        <v>300000</v>
      </c>
      <c r="C12" s="13">
        <v>330000</v>
      </c>
      <c r="D12" s="13">
        <v>360000</v>
      </c>
      <c r="E12" s="13">
        <v>400000</v>
      </c>
      <c r="F12" s="13">
        <v>440000</v>
      </c>
    </row>
    <row r="13" spans="1:6" x14ac:dyDescent="0.25">
      <c r="A13" s="4" t="s">
        <v>37</v>
      </c>
      <c r="B13" s="13">
        <v>1200000</v>
      </c>
      <c r="C13" s="13">
        <v>1420000</v>
      </c>
      <c r="D13" s="13">
        <v>1790000</v>
      </c>
      <c r="E13" s="13">
        <v>2200000</v>
      </c>
      <c r="F13" s="13">
        <v>2560000</v>
      </c>
    </row>
    <row r="14" spans="1:6" x14ac:dyDescent="0.25">
      <c r="A14" s="4" t="s">
        <v>38</v>
      </c>
      <c r="B14" s="13">
        <v>180000</v>
      </c>
      <c r="C14" s="13">
        <v>170000</v>
      </c>
      <c r="D14" s="13">
        <v>160000</v>
      </c>
      <c r="E14" s="13">
        <v>150000</v>
      </c>
      <c r="F14" s="13">
        <v>140000</v>
      </c>
    </row>
    <row r="15" spans="1:6" x14ac:dyDescent="0.25">
      <c r="A15" s="4" t="s">
        <v>39</v>
      </c>
      <c r="B15" s="13">
        <v>765000</v>
      </c>
      <c r="C15" s="13">
        <v>937500</v>
      </c>
      <c r="D15" s="13">
        <v>1222500</v>
      </c>
      <c r="E15" s="13">
        <v>1537500</v>
      </c>
      <c r="F15" s="13">
        <v>1815000</v>
      </c>
    </row>
    <row r="16" spans="1:6" x14ac:dyDescent="0.25">
      <c r="A16" s="4" t="s">
        <v>40</v>
      </c>
      <c r="B16" s="13">
        <v>900000</v>
      </c>
      <c r="C16" s="13">
        <v>1100000</v>
      </c>
      <c r="D16" s="13">
        <v>1400000</v>
      </c>
      <c r="E16" s="13">
        <v>1800000</v>
      </c>
      <c r="F16" s="13">
        <v>2300000</v>
      </c>
    </row>
    <row r="17" spans="1:6" x14ac:dyDescent="0.25">
      <c r="A17" s="4" t="s">
        <v>41</v>
      </c>
      <c r="B17" s="13">
        <v>3100000</v>
      </c>
      <c r="C17" s="13">
        <v>3500000</v>
      </c>
      <c r="D17" s="13">
        <v>4000000</v>
      </c>
      <c r="E17" s="13">
        <v>4600000</v>
      </c>
      <c r="F17" s="13">
        <v>5300000</v>
      </c>
    </row>
    <row r="18" spans="1:6" x14ac:dyDescent="0.25">
      <c r="A18" s="4" t="s">
        <v>42</v>
      </c>
      <c r="B18" s="13">
        <v>9500000</v>
      </c>
      <c r="C18" s="13">
        <v>10300000</v>
      </c>
      <c r="D18" s="13">
        <v>11400000</v>
      </c>
      <c r="E18" s="13">
        <v>12600000</v>
      </c>
      <c r="F18" s="13">
        <v>14000000</v>
      </c>
    </row>
    <row r="19" spans="1:6" x14ac:dyDescent="0.25">
      <c r="A19" s="4" t="s">
        <v>43</v>
      </c>
      <c r="B19" s="13">
        <v>1900000</v>
      </c>
      <c r="C19" s="13">
        <v>2000000</v>
      </c>
      <c r="D19" s="13">
        <v>2200000</v>
      </c>
      <c r="E19" s="13">
        <v>2400000</v>
      </c>
      <c r="F19" s="13">
        <v>2600000</v>
      </c>
    </row>
    <row r="20" spans="1:6" x14ac:dyDescent="0.25">
      <c r="A20" s="4" t="s">
        <v>44</v>
      </c>
      <c r="B20" s="13">
        <v>5400000</v>
      </c>
      <c r="C20" s="13">
        <v>5400000</v>
      </c>
      <c r="D20" s="13">
        <v>5500000</v>
      </c>
      <c r="E20" s="13">
        <v>5600000</v>
      </c>
      <c r="F20" s="13">
        <v>5800000</v>
      </c>
    </row>
    <row r="21" spans="1:6" x14ac:dyDescent="0.25">
      <c r="A21" s="4" t="s">
        <v>45</v>
      </c>
      <c r="B21" s="13">
        <v>3000000</v>
      </c>
      <c r="C21" s="13">
        <v>2800000</v>
      </c>
      <c r="D21" s="13">
        <v>2600000</v>
      </c>
      <c r="E21" s="13">
        <v>2400000</v>
      </c>
      <c r="F21" s="13">
        <v>2200000</v>
      </c>
    </row>
    <row r="22" spans="1:6" x14ac:dyDescent="0.25">
      <c r="A22" s="4" t="s">
        <v>46</v>
      </c>
      <c r="B22" s="13">
        <v>4100000</v>
      </c>
      <c r="C22" s="13">
        <v>4900000</v>
      </c>
      <c r="D22" s="13">
        <v>5900000</v>
      </c>
      <c r="E22" s="13">
        <v>7000000</v>
      </c>
      <c r="F22" s="13">
        <v>8200000</v>
      </c>
    </row>
    <row r="23" spans="1:6" x14ac:dyDescent="0.25">
      <c r="A23" s="4" t="s">
        <v>47</v>
      </c>
      <c r="B23" s="13">
        <v>450000</v>
      </c>
      <c r="C23" s="13">
        <v>500000</v>
      </c>
      <c r="D23" s="13">
        <v>600000</v>
      </c>
      <c r="E23" s="13">
        <v>700000</v>
      </c>
      <c r="F23" s="13">
        <v>800000</v>
      </c>
    </row>
    <row r="24" spans="1:6" x14ac:dyDescent="0.25">
      <c r="A24" s="4" t="s">
        <v>48</v>
      </c>
      <c r="B24" s="13">
        <v>1200000</v>
      </c>
      <c r="C24" s="13">
        <v>1400000</v>
      </c>
      <c r="D24" s="13">
        <v>1700000</v>
      </c>
      <c r="E24" s="13">
        <v>2000000</v>
      </c>
      <c r="F24" s="13">
        <v>2400000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F48"/>
  <sheetViews>
    <sheetView workbookViewId="0" showGridLines="0"/>
  </sheetViews>
  <sheetFormatPr defaultRowHeight="15" outlineLevelRow="0" outlineLevelCol="0" x14ac:dyDescent="55"/>
  <cols>
    <col min="1" max="1" width="40" customWidth="1"/>
    <col min="2" max="6" width="15" customWidth="1"/>
  </cols>
  <sheetData>
    <row r="1" spans="1:1" x14ac:dyDescent="0.25">
      <c r="A1" s="1" t="s">
        <v>49</v>
      </c>
    </row>
    <row r="2" spans="1:1" x14ac:dyDescent="0.25">
      <c r="A2" s="2" t="s">
        <v>50</v>
      </c>
    </row>
    <row r="3" spans="1:1" x14ac:dyDescent="0.25">
      <c r="A3" s="3" t="s">
        <v>2</v>
      </c>
    </row>
    <row r="5" spans="1:6" x14ac:dyDescent="0.25">
      <c r="A5" s="5" t="s">
        <v>51</v>
      </c>
      <c r="B5" s="5"/>
      <c r="C5" s="5"/>
      <c r="D5" s="5"/>
      <c r="E5" s="5"/>
      <c r="F5" s="5"/>
    </row>
    <row r="6" spans="1:2" x14ac:dyDescent="0.25">
      <c r="A6" s="4" t="s">
        <v>52</v>
      </c>
      <c r="B6" s="14">
        <f>Historicals!$F$7</f>
        <v>13100000</v>
      </c>
    </row>
    <row r="7" spans="1:2" x14ac:dyDescent="0.25">
      <c r="A7" s="4" t="s">
        <v>53</v>
      </c>
      <c r="B7" s="15">
        <v>0.124</v>
      </c>
    </row>
    <row r="8" spans="1:2" x14ac:dyDescent="0.25">
      <c r="A8" s="4" t="s">
        <v>54</v>
      </c>
      <c r="B8" s="15">
        <v>0.22899999999999998</v>
      </c>
    </row>
    <row r="9" spans="1:2" x14ac:dyDescent="0.25">
      <c r="A9" s="4" t="s">
        <v>55</v>
      </c>
      <c r="B9" s="15">
        <v>0.034</v>
      </c>
    </row>
    <row r="10" spans="1:2" x14ac:dyDescent="0.25">
      <c r="A10" s="4" t="s">
        <v>56</v>
      </c>
      <c r="B10" s="15">
        <v>0.061</v>
      </c>
    </row>
    <row r="11" spans="1:2" x14ac:dyDescent="0.25">
      <c r="A11" s="4" t="s">
        <v>57</v>
      </c>
      <c r="B11" s="15">
        <v>0.1</v>
      </c>
    </row>
    <row r="12" spans="1:2" x14ac:dyDescent="0.25">
      <c r="A12" s="4" t="s">
        <v>58</v>
      </c>
      <c r="B12" s="15">
        <v>0.25</v>
      </c>
    </row>
    <row r="13" spans="1:2" x14ac:dyDescent="0.25">
      <c r="A13" s="4" t="s">
        <v>59</v>
      </c>
      <c r="B13" s="15">
        <v>0.1</v>
      </c>
    </row>
    <row r="14" spans="1:2" x14ac:dyDescent="0.25">
      <c r="A14" s="4" t="s">
        <v>60</v>
      </c>
      <c r="B14" s="15">
        <v>0.025</v>
      </c>
    </row>
    <row r="15" spans="1:3" x14ac:dyDescent="0.25">
      <c r="A15" s="4" t="s">
        <v>61</v>
      </c>
      <c r="B15" s="14">
        <f>Historicals!$F$21-Historicals!$F$16</f>
        <v>-100000</v>
      </c>
      <c r="C15" s="3" t="s">
        <v>62</v>
      </c>
    </row>
    <row r="16" spans="1:2" x14ac:dyDescent="0.25">
      <c r="A16" s="4" t="s">
        <v>63</v>
      </c>
      <c r="B16" s="16">
        <v>1000000</v>
      </c>
    </row>
    <row r="18" spans="1:6" x14ac:dyDescent="0.25">
      <c r="A18" s="5" t="s">
        <v>64</v>
      </c>
      <c r="B18" s="5"/>
      <c r="C18" s="5"/>
      <c r="D18" s="5"/>
      <c r="E18" s="5"/>
      <c r="F18" s="5"/>
    </row>
    <row r="19" spans="1:6" x14ac:dyDescent="0.25">
      <c r="A19" s="6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s">
        <v>70</v>
      </c>
    </row>
    <row r="20" spans="1:6" x14ac:dyDescent="0.25">
      <c r="A20" s="4" t="s">
        <v>31</v>
      </c>
      <c r="B20" s="17">
        <f>$B$6*(1+$B$7)</f>
        <v>14724400.000000002</v>
      </c>
      <c r="C20" s="17">
        <f>B20*(1+$B$7)</f>
        <v>16550225.600000003</v>
      </c>
      <c r="D20" s="17">
        <f>C20*(1+$B$7)</f>
        <v>18602453.574400004</v>
      </c>
      <c r="E20" s="17">
        <f>D20*(1+$B$7)</f>
        <v>20909157.81762561</v>
      </c>
      <c r="F20" s="17">
        <f>E20*(1+$B$7)</f>
        <v>23501893.387011185</v>
      </c>
    </row>
    <row r="21" spans="1:6" x14ac:dyDescent="0.25">
      <c r="A21" s="4" t="s">
        <v>35</v>
      </c>
      <c r="B21" s="17">
        <f>B20*$B$8</f>
        <v>3371887.6</v>
      </c>
      <c r="C21" s="17">
        <f>C20*$B$8</f>
        <v>3790001.6624000003</v>
      </c>
      <c r="D21" s="17">
        <f>D20*$B$8</f>
        <v>4259961.8685376</v>
      </c>
      <c r="E21" s="17">
        <f>E20*$B$8</f>
        <v>4788197.140236264</v>
      </c>
      <c r="F21" s="17">
        <f>F20*$B$8</f>
        <v>5381933.585625561</v>
      </c>
    </row>
    <row r="22" spans="1:6" x14ac:dyDescent="0.25">
      <c r="A22" s="4" t="s">
        <v>71</v>
      </c>
      <c r="B22" s="17">
        <f>B20*$B$9</f>
        <v>500629.6000000001</v>
      </c>
      <c r="C22" s="17">
        <f>C20*$B$9</f>
        <v>562707.6704000002</v>
      </c>
      <c r="D22" s="17">
        <f>D20*$B$9</f>
        <v>632483.4215296002</v>
      </c>
      <c r="E22" s="17">
        <f>E20*$B$9</f>
        <v>710911.3657992707</v>
      </c>
      <c r="F22" s="17">
        <f>F20*$B$9</f>
        <v>799064.3751583804</v>
      </c>
    </row>
    <row r="23" spans="1:6" x14ac:dyDescent="0.25">
      <c r="A23" s="4" t="s">
        <v>37</v>
      </c>
      <c r="B23" s="17">
        <f>B21-B22</f>
        <v>2871258</v>
      </c>
      <c r="C23" s="17">
        <f>C21-C22</f>
        <v>3227293.992</v>
      </c>
      <c r="D23" s="17">
        <f>D21-D22</f>
        <v>3627478.4470079998</v>
      </c>
      <c r="E23" s="17">
        <f>E21-E22</f>
        <v>4077285.7744369935</v>
      </c>
      <c r="F23" s="17">
        <f>F21-F22</f>
        <v>4582869.21046718</v>
      </c>
    </row>
    <row r="24" spans="1:6" x14ac:dyDescent="0.25">
      <c r="A24" s="4" t="s">
        <v>72</v>
      </c>
      <c r="B24" s="17">
        <f>B23*$B$12</f>
        <v>717814.5</v>
      </c>
      <c r="C24" s="17">
        <f>C23*$B$12</f>
        <v>806823.498</v>
      </c>
      <c r="D24" s="17">
        <f>D23*$B$12</f>
        <v>906869.6117519999</v>
      </c>
      <c r="E24" s="17">
        <f>E23*$B$12</f>
        <v>1019321.4436092484</v>
      </c>
      <c r="F24" s="17">
        <f>F23*$B$12</f>
        <v>1145717.302616795</v>
      </c>
    </row>
    <row r="25" spans="1:6" x14ac:dyDescent="0.25">
      <c r="A25" s="4" t="s">
        <v>73</v>
      </c>
      <c r="B25" s="17">
        <f>B23-B24</f>
        <v>2153443.5</v>
      </c>
      <c r="C25" s="17">
        <f>C23-C24</f>
        <v>2420470.494</v>
      </c>
      <c r="D25" s="17">
        <f>D23-D24</f>
        <v>2720608.835256</v>
      </c>
      <c r="E25" s="17">
        <f>E23-E24</f>
        <v>3057964.330827745</v>
      </c>
      <c r="F25" s="17">
        <f>F23-F24</f>
        <v>3437151.907850385</v>
      </c>
    </row>
    <row r="26" spans="1:6" x14ac:dyDescent="0.25">
      <c r="A26" s="4" t="s">
        <v>74</v>
      </c>
      <c r="B26" s="17">
        <f>B20*$B$10</f>
        <v>898188.4000000001</v>
      </c>
      <c r="C26" s="17">
        <f>C20*$B$10</f>
        <v>1009563.7616000002</v>
      </c>
      <c r="D26" s="17">
        <f>D20*$B$10</f>
        <v>1134749.6680384001</v>
      </c>
      <c r="E26" s="17">
        <f>E20*$B$10</f>
        <v>1275458.6268751621</v>
      </c>
      <c r="F26" s="17">
        <f>F20*$B$10</f>
        <v>1433615.4966076822</v>
      </c>
    </row>
    <row r="27" spans="1:6" x14ac:dyDescent="0.25">
      <c r="A27" s="4" t="s">
        <v>75</v>
      </c>
      <c r="B27" s="17">
        <f>(B20-$B$6)*$B$11</f>
        <v>162440.0000000002</v>
      </c>
      <c r="C27" s="17">
        <f>(C20-B20)*$B$11</f>
        <v>182582.56000000017</v>
      </c>
      <c r="D27" s="17">
        <f>(D20-C20)*$B$11</f>
        <v>205222.79744000008</v>
      </c>
      <c r="E27" s="17">
        <f>(E20-D20)*$B$11</f>
        <v>230670.42432256043</v>
      </c>
      <c r="F27" s="17">
        <f>(F20-E20)*$B$11</f>
        <v>259273.5569385577</v>
      </c>
    </row>
    <row r="28" spans="1:6" x14ac:dyDescent="0.25">
      <c r="A28" s="7" t="s">
        <v>76</v>
      </c>
      <c r="B28" s="18">
        <f>B25+B22-B26-B27</f>
        <v>1593444.6999999997</v>
      </c>
      <c r="C28" s="18">
        <f>C25+C22-C26-C27</f>
        <v>1791031.8427999998</v>
      </c>
      <c r="D28" s="18">
        <f>D25+D22-D26-D27</f>
        <v>2013119.7913072004</v>
      </c>
      <c r="E28" s="18">
        <f>E25+E22-E26-E27</f>
        <v>2262746.645429293</v>
      </c>
      <c r="F28" s="18">
        <f>F25+F22-F26-F27</f>
        <v>2543327.2294625253</v>
      </c>
    </row>
    <row r="29" spans="1:6" x14ac:dyDescent="0.25">
      <c r="A29" s="4" t="s">
        <v>77</v>
      </c>
      <c r="B29" s="19">
        <f>1/(1+$B$13)^1</f>
        <v>0.9090909090909091</v>
      </c>
      <c r="C29" s="19">
        <f>1/(1+$B$13)^2</f>
        <v>0.8264462809917354</v>
      </c>
      <c r="D29" s="19">
        <f>1/(1+$B$13)^3</f>
        <v>0.7513148009015775</v>
      </c>
      <c r="E29" s="19">
        <f>1/(1+$B$13)^4</f>
        <v>0.6830134553650705</v>
      </c>
      <c r="F29" s="19">
        <f>1/(1+$B$13)^5</f>
        <v>0.6209213230591549</v>
      </c>
    </row>
    <row r="30" spans="1:6" x14ac:dyDescent="0.25">
      <c r="A30" s="4" t="s">
        <v>78</v>
      </c>
      <c r="B30" s="17">
        <f>B28*B29</f>
        <v>1448586.0909090906</v>
      </c>
      <c r="C30" s="17">
        <f>C28*C29</f>
        <v>1480191.6056198343</v>
      </c>
      <c r="D30" s="17">
        <f>D28*D29</f>
        <v>1512486.6951969946</v>
      </c>
      <c r="E30" s="17">
        <f>E28*E29</f>
        <v>1545486.4049103835</v>
      </c>
      <c r="F30" s="17">
        <f>F28*F29</f>
        <v>1579206.1082902462</v>
      </c>
    </row>
    <row r="32" spans="1:6" x14ac:dyDescent="0.25">
      <c r="A32" s="5" t="s">
        <v>79</v>
      </c>
      <c r="B32" s="5"/>
      <c r="C32" s="5"/>
      <c r="D32" s="5"/>
      <c r="E32" s="5"/>
      <c r="F32" s="5"/>
    </row>
    <row r="33" spans="1:2" x14ac:dyDescent="0.25">
      <c r="A33" s="4" t="s">
        <v>80</v>
      </c>
      <c r="B33" s="17">
        <f>SUM(B30:F30)</f>
        <v>7565956.90492655</v>
      </c>
    </row>
    <row r="34" spans="1:2" x14ac:dyDescent="0.25">
      <c r="A34" s="4" t="s">
        <v>81</v>
      </c>
      <c r="B34" s="17">
        <f>F28*(1+$B$14)/($B$13-$B$14)</f>
        <v>34758805.46932117</v>
      </c>
    </row>
    <row r="35" spans="1:2" x14ac:dyDescent="0.25">
      <c r="A35" s="4" t="s">
        <v>82</v>
      </c>
      <c r="B35" s="17">
        <f>B34*F29</f>
        <v>21582483.479966693</v>
      </c>
    </row>
    <row r="36" spans="1:2" x14ac:dyDescent="0.25">
      <c r="A36" s="7" t="s">
        <v>83</v>
      </c>
      <c r="B36" s="20">
        <f>B33+B35</f>
        <v>29148440.384893242</v>
      </c>
    </row>
    <row r="37" spans="1:2" x14ac:dyDescent="0.25">
      <c r="A37" s="4" t="s">
        <v>84</v>
      </c>
      <c r="B37" s="17">
        <f>$B$15</f>
        <v>-100000</v>
      </c>
    </row>
    <row r="38" spans="1:2" x14ac:dyDescent="0.25">
      <c r="A38" s="7" t="s">
        <v>85</v>
      </c>
      <c r="B38" s="20">
        <f>B36-B37</f>
        <v>29248440.384893242</v>
      </c>
    </row>
    <row r="39" spans="1:2" x14ac:dyDescent="0.25">
      <c r="A39" s="7" t="s">
        <v>86</v>
      </c>
      <c r="B39" s="21">
        <f>B38/$B$16</f>
        <v>29.248440384893243</v>
      </c>
    </row>
    <row r="40" spans="1:2" x14ac:dyDescent="0.25">
      <c r="A40" s="4" t="s">
        <v>87</v>
      </c>
      <c r="B40" s="22">
        <f>B35/B36</f>
        <v>0.7404335599084829</v>
      </c>
    </row>
    <row r="42" spans="1:6" x14ac:dyDescent="0.25">
      <c r="A42" s="5" t="s">
        <v>88</v>
      </c>
      <c r="B42" s="5"/>
      <c r="C42" s="5"/>
      <c r="D42" s="5"/>
      <c r="E42" s="5"/>
      <c r="F42" s="5"/>
    </row>
    <row r="43" spans="1:6" x14ac:dyDescent="0.25">
      <c r="A43" s="6" t="s">
        <v>89</v>
      </c>
      <c r="B43" s="23">
        <f>$B$14+-0.01</f>
        <v>0.015000000000000001</v>
      </c>
      <c r="C43" s="23">
        <f>$B$14+-0.005</f>
        <v>0.02</v>
      </c>
      <c r="D43" s="23">
        <f>$B$14+0</f>
        <v>0.025</v>
      </c>
      <c r="E43" s="23">
        <f>$B$14+0.005</f>
        <v>0.030000000000000002</v>
      </c>
      <c r="F43" s="23">
        <f>$B$14+0.01</f>
        <v>0.035</v>
      </c>
    </row>
    <row r="44" spans="1:6" x14ac:dyDescent="0.25">
      <c r="A44" s="24">
        <f>$B$13+-0.02</f>
        <v>0.08</v>
      </c>
      <c r="B44" s="17">
        <f>NPV($A44,$B$28:$F$28)+$F$28*(1+B$43)/($A44-B$43)/(1+$A44)^5</f>
        <v>35032528.44764705</v>
      </c>
      <c r="C44" s="17">
        <f>NPV($A44,$B$28:$F$28)+$F$28*(1+C$43)/($A44-C$43)/(1+$A44)^5</f>
        <v>37429222.600320205</v>
      </c>
      <c r="D44" s="17">
        <f>NPV($A44,$B$28:$F$28)+$F$28*(1+D$43)/($A44-D$43)/(1+$A44)^5</f>
        <v>40261679.32620664</v>
      </c>
      <c r="E44" s="17">
        <f>NPV($A44,$B$28:$F$28)+$F$28*(1+E$43)/($A44-E$43)/(1+$A44)^5</f>
        <v>43660627.39727037</v>
      </c>
      <c r="F44" s="17">
        <f>NPV($A44,$B$28:$F$28)+$F$28*(1+F$43)/($A44-F$43)/(1+$A44)^5</f>
        <v>47814897.26190382</v>
      </c>
    </row>
    <row r="45" spans="1:6" x14ac:dyDescent="0.25">
      <c r="A45" s="24">
        <f>$B$13+-0.01</f>
        <v>0.09000000000000001</v>
      </c>
      <c r="B45" s="17">
        <f>NPV($A45,$B$28:$F$28)+$F$28*(1+B$43)/($A45-B$43)/(1+$A45)^5</f>
        <v>30150264.54825244</v>
      </c>
      <c r="C45" s="17">
        <f>NPV($A45,$B$28:$F$28)+$F$28*(1+C$43)/($A45-C$43)/(1+$A45)^5</f>
        <v>31866223.7190523</v>
      </c>
      <c r="D45" s="17">
        <f>NPV($A45,$B$28:$F$28)+$F$28*(1+D$43)/($A45-D$43)/(1+$A45)^5</f>
        <v>33846176.60843675</v>
      </c>
      <c r="E45" s="17">
        <f>NPV($A45,$B$28:$F$28)+$F$28*(1+E$43)/($A45-E$43)/(1+$A45)^5</f>
        <v>36156121.64605195</v>
      </c>
      <c r="F45" s="17">
        <f>NPV($A45,$B$28:$F$28)+$F$28*(1+F$43)/($A45-F$43)/(1+$A45)^5</f>
        <v>38886056.690506265</v>
      </c>
    </row>
    <row r="46" spans="1:6" x14ac:dyDescent="0.25">
      <c r="A46" s="24">
        <f>$B$13+0</f>
        <v>0.1</v>
      </c>
      <c r="B46" s="17">
        <f>NPV($A46,$B$28:$F$28)+$F$28*(1+B$43)/($A46-B$43)/(1+$A46)^5</f>
        <v>26423535.72745125</v>
      </c>
      <c r="C46" s="17">
        <f>NPV($A46,$B$28:$F$28)+$F$28*(1+C$43)/($A46-C$43)/(1+$A46)^5</f>
        <v>27700834.785627186</v>
      </c>
      <c r="D46" s="20">
        <f>NPV($A46,$B$28:$F$28)+$F$28*(1+D$43)/($A46-D$43)/(1+$A46)^5</f>
        <v>29148440.384893242</v>
      </c>
      <c r="E46" s="17">
        <f>NPV($A46,$B$28:$F$28)+$F$28*(1+E$43)/($A46-E$43)/(1+$A46)^5</f>
        <v>30802846.78405446</v>
      </c>
      <c r="F46" s="17">
        <f>NPV($A46,$B$28:$F$28)+$F$28*(1+F$43)/($A46-F$43)/(1+$A46)^5</f>
        <v>32711777.244625084</v>
      </c>
    </row>
    <row r="47" spans="1:6" x14ac:dyDescent="0.25">
      <c r="A47" s="24">
        <f>$B$13+0.01</f>
        <v>0.11</v>
      </c>
      <c r="B47" s="17">
        <f>NPV($A47,$B$28:$F$28)+$F$28*(1+B$43)/($A47-B$43)/(1+$A47)^5</f>
        <v>23487151.619725984</v>
      </c>
      <c r="C47" s="17">
        <f>NPV($A47,$B$28:$F$28)+$F$28*(1+C$43)/($A47-C$43)/(1+$A47)^5</f>
        <v>24466899.235768884</v>
      </c>
      <c r="D47" s="17">
        <f>NPV($A47,$B$28:$F$28)+$F$28*(1+D$43)/($A47-D$43)/(1+$A47)^5</f>
        <v>25561911.27722859</v>
      </c>
      <c r="E47" s="17">
        <f>NPV($A47,$B$28:$F$28)+$F$28*(1+E$43)/($A47-E$43)/(1+$A47)^5</f>
        <v>26793799.823870763</v>
      </c>
      <c r="F47" s="17">
        <f>NPV($A47,$B$28:$F$28)+$F$28*(1+F$43)/($A47-F$43)/(1+$A47)^5</f>
        <v>28189940.176731892</v>
      </c>
    </row>
    <row r="48" spans="1:6" x14ac:dyDescent="0.25">
      <c r="A48" s="24">
        <f>$B$13+0.02</f>
        <v>0.12000000000000001</v>
      </c>
      <c r="B48" s="17">
        <f>NPV($A48,$B$28:$F$28)+$F$28*(1+B$43)/($A48-B$43)/(1+$A48)^5</f>
        <v>21115056.583035972</v>
      </c>
      <c r="C48" s="17">
        <f>NPV($A48,$B$28:$F$28)+$F$28*(1+C$43)/($A48-C$43)/(1+$A48)^5</f>
        <v>21884737.741903927</v>
      </c>
      <c r="D48" s="17">
        <f>NPV($A48,$B$28:$F$28)+$F$28*(1+D$43)/($A48-D$43)/(1+$A48)^5</f>
        <v>22735437.970126405</v>
      </c>
      <c r="E48" s="17">
        <f>NPV($A48,$B$28:$F$28)+$F$28*(1+E$43)/($A48-E$43)/(1+$A48)^5</f>
        <v>23680660.44592916</v>
      </c>
      <c r="F48" s="17">
        <f>NPV($A48,$B$28:$F$28)+$F$28*(1+F$43)/($A48-F$43)/(1+$A48)^5</f>
        <v>24737085.565943997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Historicals</vt:lpstr>
      <vt:lpstr>DCF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Studio</dc:creator>
  <dc:title/>
  <dc:subject/>
  <dc:description/>
  <cp:keywords/>
  <cp:category/>
  <cp:lastModifiedBy>Unknown</cp:lastModifiedBy>
  <dcterms:created xsi:type="dcterms:W3CDTF">2026-10-29T16:47:42Z</dcterms:created>
  <dcterms:modified xsi:type="dcterms:W3CDTF">2026-10-29T16:47:42Z</dcterms:modified>
</cp:coreProperties>
</file>