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Ratios" state="visible" r:id="rId6"/>
  </sheets>
  <calcPr calcId="171027" fullCalcOnLoad="1"/>
</workbook>
</file>

<file path=xl/sharedStrings.xml><?xml version="1.0" encoding="utf-8"?>
<sst xmlns="http://schemas.openxmlformats.org/spreadsheetml/2006/main" count="71" uniqueCount="64">
  <si>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</si>
  <si>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</si>
  <si>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</si>
  <si>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</si>
  <si>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</si>
  <si>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</si>
  <si>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</si>
  <si>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</si>
  <si>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</si>
  <si>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</si>
  <si>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Ratios</t>
  </si>
  <si>
    <t>Ratio analysis linked to Historicals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</si>
  <si>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</si>
  <si>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</si>
  <si>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</si>
  <si>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</si>
  <si>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</si>
  <si>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</si>
  <si>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</si>
  <si>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</si>
  <si>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</si>
  <si>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</si>
  <si>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</si>
  <si>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</si>
  <si>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</si>
  <si>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</si>
  <si>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</si>
  <si>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</si>
  <si>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</si>
  <si>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</si>
  <si>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</si>
  <si>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</si>
  <si>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</si>
  <si>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</si>
  <si>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</si>
  <si>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</si>
  <si>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</si>
  <si>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</si>
  <si>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</si>
  <si>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</si>
  <si>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</si>
  <si>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</si>
  <si>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</si>
  <si>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</si>
  <si>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</si>
  <si>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</si>
  <si>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</si>
  <si>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</si>
  <si>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</si>
  <si>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Ratio Analysis</t>
  </si>
  <si>
    <t>Aurora Retail Co. · calculated from Historicals</t>
  </si>
  <si>
    <t>Ratios by year</t>
  </si>
  <si>
    <t>Ratio</t>
  </si>
  <si>
    <t>Revenue growth</t>
  </si>
  <si>
    <t>Gross margin</t>
  </si>
  <si>
    <t>EBITDA margin</t>
  </si>
  <si>
    <t>Net margin</t>
  </si>
  <si>
    <t>Current ratio</t>
  </si>
  <si>
    <t>Debt / Equity</t>
  </si>
  <si>
    <t>Debt / EBITDA</t>
  </si>
  <si>
    <t>Interest coverage (EBIT / interest)</t>
  </si>
  <si>
    <t>Return on assets</t>
  </si>
  <si>
    <t>Return on equity</t>
  </si>
  <si>
    <t>Cash conversion (OCF / net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</si>
</sst>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&quot;–&quot;"/>
    <numFmt numFmtId="165" formatCode="0.0%"/>
    <numFmt numFmtId="166" formatCode="0.00&quot;x&quot;"/>
  </numFmts>
  <fonts count="11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17"/>
  <sheetViews>
    <sheetView workbookViewId="0" showGridLines="0"/>
  </sheetViews>
  <sheetFormatPr defaultRowHeight="15" outlineLevelRow="0" outlineLevelCol="0" x14ac:dyDescent="55"/>
  <cols>
    <col min="1" max="1" width="40" customWidth="1"/>
    <col min="2" max="6" width="14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6" x14ac:dyDescent="0.25">
      <c r="A5" s="5" t="s">
        <v>51</v>
      </c>
      <c r="B5" s="5"/>
      <c r="C5" s="5"/>
      <c r="D5" s="5"/>
      <c r="E5" s="5"/>
      <c r="F5" s="5"/>
    </row>
    <row r="6" spans="1:6" x14ac:dyDescent="0.25">
      <c r="A6" s="6" t="s">
        <v>52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53</v>
      </c>
      <c r="C7" s="14">
        <f>IFERROR(Historicals!C7/Historicals!B7-1,"")</f>
        <v>0.10975609756097571</v>
      </c>
      <c r="D7" s="14">
        <f>IFERROR(Historicals!D7/Historicals!C7-1,"")</f>
        <v>0.1428571428571428</v>
      </c>
      <c r="E7" s="14">
        <f>IFERROR(Historicals!E7/Historicals!D7-1,"")</f>
        <v>0.13461538461538458</v>
      </c>
      <c r="F7" s="14">
        <f>IFERROR(Historicals!F7/Historicals!E7-1,"")</f>
        <v>0.11016949152542366</v>
      </c>
    </row>
    <row r="8" spans="1:6" x14ac:dyDescent="0.25">
      <c r="A8" s="4" t="s">
        <v>54</v>
      </c>
      <c r="B8" s="14">
        <f>IFERROR(Historicals!B9/Historicals!B7,"")</f>
        <v>0.4024390243902439</v>
      </c>
      <c r="C8" s="14">
        <f>IFERROR(Historicals!C9/Historicals!C7,"")</f>
        <v>0.4065934065934066</v>
      </c>
      <c r="D8" s="14">
        <f>IFERROR(Historicals!D9/Historicals!D7,"")</f>
        <v>0.41346153846153844</v>
      </c>
      <c r="E8" s="14">
        <f>IFERROR(Historicals!E9/Historicals!E7,"")</f>
        <v>0.423728813559322</v>
      </c>
      <c r="F8" s="14">
        <f>IFERROR(Historicals!F9/Historicals!F7,"")</f>
        <v>0.42748091603053434</v>
      </c>
    </row>
    <row r="9" spans="1:6" x14ac:dyDescent="0.25">
      <c r="A9" s="4" t="s">
        <v>55</v>
      </c>
      <c r="B9" s="14">
        <f>IFERROR(Historicals!B11/Historicals!B7,"")</f>
        <v>0.18292682926829268</v>
      </c>
      <c r="C9" s="14">
        <f>IFERROR(Historicals!C11/Historicals!C7,"")</f>
        <v>0.19230769230769232</v>
      </c>
      <c r="D9" s="14">
        <f>IFERROR(Historicals!D11/Historicals!D7,"")</f>
        <v>0.20673076923076922</v>
      </c>
      <c r="E9" s="14">
        <f>IFERROR(Historicals!E11/Historicals!E7,"")</f>
        <v>0.22033898305084745</v>
      </c>
      <c r="F9" s="14">
        <f>IFERROR(Historicals!F11/Historicals!F7,"")</f>
        <v>0.22900763358778625</v>
      </c>
    </row>
    <row r="10" spans="1:6" x14ac:dyDescent="0.25">
      <c r="A10" s="4" t="s">
        <v>56</v>
      </c>
      <c r="B10" s="14">
        <f>IFERROR(Historicals!B15/Historicals!B7,"")</f>
        <v>0.09329268292682927</v>
      </c>
      <c r="C10" s="14">
        <f>IFERROR(Historicals!C15/Historicals!C7,"")</f>
        <v>0.10302197802197802</v>
      </c>
      <c r="D10" s="14">
        <f>IFERROR(Historicals!D15/Historicals!D7,"")</f>
        <v>0.11754807692307692</v>
      </c>
      <c r="E10" s="14">
        <f>IFERROR(Historicals!E15/Historicals!E7,"")</f>
        <v>0.13029661016949154</v>
      </c>
      <c r="F10" s="14">
        <f>IFERROR(Historicals!F15/Historicals!F7,"")</f>
        <v>0.1385496183206107</v>
      </c>
    </row>
    <row r="11" spans="1:6" x14ac:dyDescent="0.25">
      <c r="A11" s="4" t="s">
        <v>57</v>
      </c>
      <c r="B11" s="15">
        <f>IFERROR(Historicals!B17/Historicals!B19,"")</f>
        <v>1.631578947368421</v>
      </c>
      <c r="C11" s="15">
        <f>IFERROR(Historicals!C17/Historicals!C19,"")</f>
        <v>1.75</v>
      </c>
      <c r="D11" s="15">
        <f>IFERROR(Historicals!D17/Historicals!D19,"")</f>
        <v>1.8181818181818181</v>
      </c>
      <c r="E11" s="15">
        <f>IFERROR(Historicals!E17/Historicals!E19,"")</f>
        <v>1.9166666666666667</v>
      </c>
      <c r="F11" s="15">
        <f>IFERROR(Historicals!F17/Historicals!F19,"")</f>
        <v>2.0384615384615383</v>
      </c>
    </row>
    <row r="12" spans="1:6" x14ac:dyDescent="0.25">
      <c r="A12" s="4" t="s">
        <v>58</v>
      </c>
      <c r="B12" s="15">
        <f>IFERROR(Historicals!B21/Historicals!B22,"")</f>
        <v>0.7317073170731707</v>
      </c>
      <c r="C12" s="15">
        <f>IFERROR(Historicals!C21/Historicals!C22,"")</f>
        <v>0.5714285714285714</v>
      </c>
      <c r="D12" s="15">
        <f>IFERROR(Historicals!D21/Historicals!D22,"")</f>
        <v>0.4406779661016949</v>
      </c>
      <c r="E12" s="15">
        <f>IFERROR(Historicals!E21/Historicals!E22,"")</f>
        <v>0.34285714285714286</v>
      </c>
      <c r="F12" s="15">
        <f>IFERROR(Historicals!F21/Historicals!F22,"")</f>
        <v>0.2682926829268293</v>
      </c>
    </row>
    <row r="13" spans="1:6" x14ac:dyDescent="0.25">
      <c r="A13" s="4" t="s">
        <v>59</v>
      </c>
      <c r="B13" s="15">
        <f>IFERROR(Historicals!B21/Historicals!B11,"")</f>
        <v>2</v>
      </c>
      <c r="C13" s="15">
        <f>IFERROR(Historicals!C21/Historicals!C11,"")</f>
        <v>1.6</v>
      </c>
      <c r="D13" s="15">
        <f>IFERROR(Historicals!D21/Historicals!D11,"")</f>
        <v>1.2093023255813953</v>
      </c>
      <c r="E13" s="15">
        <f>IFERROR(Historicals!E21/Historicals!E11,"")</f>
        <v>0.9230769230769231</v>
      </c>
      <c r="F13" s="15">
        <f>IFERROR(Historicals!F21/Historicals!F11,"")</f>
        <v>0.7333333333333333</v>
      </c>
    </row>
    <row r="14" spans="1:6" x14ac:dyDescent="0.25">
      <c r="A14" s="4" t="s">
        <v>60</v>
      </c>
      <c r="B14" s="15">
        <f>IFERROR(Historicals!B13/Historicals!B14,"")</f>
        <v>6.666666666666667</v>
      </c>
      <c r="C14" s="15">
        <f>IFERROR(Historicals!C13/Historicals!C14,"")</f>
        <v>8.352941176470589</v>
      </c>
      <c r="D14" s="15">
        <f>IFERROR(Historicals!D13/Historicals!D14,"")</f>
        <v>11.1875</v>
      </c>
      <c r="E14" s="15">
        <f>IFERROR(Historicals!E13/Historicals!E14,"")</f>
        <v>14.666666666666666</v>
      </c>
      <c r="F14" s="15">
        <f>IFERROR(Historicals!F13/Historicals!F14,"")</f>
        <v>18.285714285714285</v>
      </c>
    </row>
    <row r="15" spans="1:6" x14ac:dyDescent="0.25">
      <c r="A15" s="4" t="s">
        <v>61</v>
      </c>
      <c r="B15" s="14">
        <f>IFERROR(Historicals!B15/Historicals!B18,"")</f>
        <v>0.08052631578947368</v>
      </c>
      <c r="C15" s="14">
        <f>IFERROR(Historicals!C15/Historicals!C18,"")</f>
        <v>0.09101941747572816</v>
      </c>
      <c r="D15" s="14">
        <f>IFERROR(Historicals!D15/Historicals!D18,"")</f>
        <v>0.10723684210526316</v>
      </c>
      <c r="E15" s="14">
        <f>IFERROR(Historicals!E15/Historicals!E18,"")</f>
        <v>0.12202380952380952</v>
      </c>
      <c r="F15" s="14">
        <f>IFERROR(Historicals!F15/Historicals!F18,"")</f>
        <v>0.12964285714285714</v>
      </c>
    </row>
    <row r="16" spans="1:6" x14ac:dyDescent="0.25">
      <c r="A16" s="4" t="s">
        <v>62</v>
      </c>
      <c r="B16" s="14">
        <f>IFERROR(Historicals!B15/Historicals!B22,"")</f>
        <v>0.18658536585365854</v>
      </c>
      <c r="C16" s="14">
        <f>IFERROR(Historicals!C15/Historicals!C22,"")</f>
        <v>0.1913265306122449</v>
      </c>
      <c r="D16" s="14">
        <f>IFERROR(Historicals!D15/Historicals!D22,"")</f>
        <v>0.20720338983050848</v>
      </c>
      <c r="E16" s="14">
        <f>IFERROR(Historicals!E15/Historicals!E22,"")</f>
        <v>0.21964285714285714</v>
      </c>
      <c r="F16" s="14">
        <f>IFERROR(Historicals!F15/Historicals!F22,"")</f>
        <v>0.22134146341463415</v>
      </c>
    </row>
    <row r="17" spans="1:6" x14ac:dyDescent="0.25">
      <c r="A17" s="4" t="s">
        <v>63</v>
      </c>
      <c r="B17" s="15">
        <f>IFERROR(Historicals!B24/Historicals!B15,"")</f>
        <v>1.5686274509803921</v>
      </c>
      <c r="C17" s="15">
        <f>IFERROR(Historicals!C24/Historicals!C15,"")</f>
        <v>1.4933333333333334</v>
      </c>
      <c r="D17" s="15">
        <f>IFERROR(Historicals!D24/Historicals!D15,"")</f>
        <v>1.3905930470347647</v>
      </c>
      <c r="E17" s="15">
        <f>IFERROR(Historicals!E24/Historicals!E15,"")</f>
        <v>1.3008130081300813</v>
      </c>
      <c r="F17" s="15">
        <f>IFERROR(Historicals!F24/Historicals!F15,"")</f>
        <v>1.322314049586777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Ratios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2026-10-29T16:47:46Z</dcterms:created>
  <dcterms:modified xsi:type="dcterms:W3CDTF">2026-10-29T16:47:46Z</dcterms:modified>
</cp:coreProperties>
</file>