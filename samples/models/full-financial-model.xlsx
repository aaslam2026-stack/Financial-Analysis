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DCF" state="visible" r:id="rId6"/>
    <sheet sheetId="4" name="Comps" state="visible" r:id="rId7"/>
    <sheet sheetId="5" name="WACC" state="visible" r:id="rId8"/>
    <sheet sheetId="6" name="MonteCarlo" state="visible" r:id="rId9"/>
    <sheet sheetId="7" name="LBO" state="visible" r:id="rId10"/>
    <sheet sheetId="8" name="Loan" state="visible" r:id="rId11"/>
    <sheet sheetId="9" name="NPV_IRR" state="visible" r:id="rId12"/>
    <sheet sheetId="10" name="Breakeven" state="visible" r:id="rId13"/>
    <sheet sheetId="11" name="Feasibility" state="visible" r:id="rId14"/>
    <sheet sheetId="12" name="Ratios" state="visible" r:id="rId15"/>
    <sheet sheetId="13" name="Forecast" state="visible" r:id="rId16"/>
  </sheets>
  <calcPr calcId="171027" fullCalcOnLoad="1"/>
</workbook>
</file>

<file path=xl/sharedStrings.xml><?xml version="1.0" encoding="utf-8"?>
<sst xmlns="http://schemas.openxmlformats.org/spreadsheetml/2006/main" count="440" uniqueCount="339">
  <si>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</si>
  <si>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</si>
  <si>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</si>
  <si>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</si>
  <si>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</si>
  <si>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</si>
  <si>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</si>
  <si>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</si>
  <si>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</si>
  <si>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</si>
  <si>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DCF</t>
  </si>
  <si>
    <t>Discounted cash flow valuation with sensitivity table</t>
  </si>
  <si>
    <t>Comps</t>
  </si>
  <si>
    <t>Trading comparables: implied valuation range</t>
  </si>
  <si>
    <t>WACC</t>
  </si>
  <si>
    <t>Weighted average cost of capital (CAPM)</t>
  </si>
  <si>
    <t>MonteCarlo</t>
  </si>
  <si>
    <t>Monte Carlo valuation range (simulation results)</t>
  </si>
  <si>
    <t>LBO</t>
  </si>
  <si>
    <t>Leveraged buyout: sources &amp; uses, debt schedule, IRR and MOIC</t>
  </si>
  <si>
    <t>Loan</t>
  </si>
  <si>
    <t>Amortizing loan schedule</t>
  </si>
  <si>
    <t>NPV_IRR</t>
  </si>
  <si>
    <t>Investment appraisal: NPV, IRR, MIRR, payback</t>
  </si>
  <si>
    <t>Breakeven</t>
  </si>
  <si>
    <t>Break-even units, revenue and margin of safety</t>
  </si>
  <si>
    <t>Feasibility</t>
  </si>
  <si>
    <t>Project feasibility: cash flows, NPV, IRR, payback, verdict</t>
  </si>
  <si>
    <t>Ratios</t>
  </si>
  <si>
    <t>Ratio analysis linked to Historicals</t>
  </si>
  <si>
    <t>Forecast</t>
  </si>
  <si>
    <t>3-statement style forecast: P&amp;L, cash and debt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</si>
  <si>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</si>
  <si>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</si>
  <si>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</si>
  <si>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</si>
  <si>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</si>
  <si>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</si>
  <si>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</si>
  <si>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</si>
  <si>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</si>
  <si>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</si>
  <si>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</si>
  <si>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</si>
  <si>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</si>
  <si>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</si>
  <si>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</si>
  <si>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</si>
  <si>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</si>
  <si>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</si>
  <si>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</si>
  <si>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</si>
  <si>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</si>
  <si>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</si>
  <si>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</si>
  <si>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</si>
  <si>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</si>
  <si>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</si>
  <si>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</si>
  <si>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</si>
  <si>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</si>
  <si>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</si>
  <si>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</si>
  <si>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</si>
  <si>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</si>
  <si>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</si>
  <si>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</si>
  <si>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</si>
  <si>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</si>
  <si>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DCF Valuation</t>
  </si>
  <si>
    <t>Aurora Retail Co. · discounted cash flow</t>
  </si>
  <si>
    <t>Assumptions</t>
  </si>
  <si>
    <t>Base revenue (last actual year)</t>
  </si>
  <si>
    <t>Revenue growth</t>
  </si>
  <si>
    <t>EBITDA margin</t>
  </si>
  <si>
    <t>D&amp;A % of revenue</t>
  </si>
  <si>
    <t>CapEx % of revenue</t>
  </si>
  <si>
    <t>Working capital % of new revenue</t>
  </si>
  <si>
    <t>Tax rate</t>
  </si>
  <si>
    <t>WACC (discount rate)</t>
  </si>
  <si>
    <t>Terminal growth</t>
  </si>
  <si>
    <t>Net debt</t>
  </si>
  <si>
    <t>Total debt less cash</t>
  </si>
  <si>
    <t>Shares outstanding</t>
  </si>
  <si>
    <t>Free cash flow projection</t>
  </si>
  <si>
    <t>Fiscal year</t>
  </si>
  <si>
    <t>2025E</t>
  </si>
  <si>
    <t>2026E</t>
  </si>
  <si>
    <t>2027E</t>
  </si>
  <si>
    <t>2028E</t>
  </si>
  <si>
    <t>2029E</t>
  </si>
  <si>
    <t>Depreciation &amp; amortization</t>
  </si>
  <si>
    <t>Taxes on EBIT</t>
  </si>
  <si>
    <t>NOPAT</t>
  </si>
  <si>
    <t>Capital expenditure</t>
  </si>
  <si>
    <t>Increase in working capital</t>
  </si>
  <si>
    <t>Unlevered free cash flow</t>
  </si>
  <si>
    <t>Discount factor</t>
  </si>
  <si>
    <t>Present value of FCF</t>
  </si>
  <si>
    <t>Valuation</t>
  </si>
  <si>
    <t>Sum of PV of free cash flows</t>
  </si>
  <si>
    <t>Terminal value (Gordon growth)</t>
  </si>
  <si>
    <t>PV of terminal value</t>
  </si>
  <si>
    <t>Enterprise value</t>
  </si>
  <si>
    <t>Less: net debt</t>
  </si>
  <si>
    <t>Equity value</t>
  </si>
  <si>
    <t>Value per share</t>
  </si>
  <si>
    <t>Terminal value as % of EV</t>
  </si>
  <si>
    <t>Sensitivity: enterprise value</t>
  </si>
  <si>
    <t>WACC ↓   Terminal growth →</t>
  </si>
  <si>
    <t>Comparable Companies</t>
  </si>
  <si>
    <t>Aurora Retail Co. · trading multiples</t>
  </si>
  <si>
    <t>Company metrics</t>
  </si>
  <si>
    <t>Net income</t>
  </si>
  <si>
    <t>Peer multiples (enter your peer group)</t>
  </si>
  <si>
    <t>Peer</t>
  </si>
  <si>
    <t>EV / EBITDA</t>
  </si>
  <si>
    <t>EV / Sales</t>
  </si>
  <si>
    <t>P / E</t>
  </si>
  <si>
    <t>Peer 1</t>
  </si>
  <si>
    <t>Peer 2</t>
  </si>
  <si>
    <t>Peer 3</t>
  </si>
  <si>
    <t>Peer 4</t>
  </si>
  <si>
    <t>Peer 5</t>
  </si>
  <si>
    <t>Implied equity value</t>
  </si>
  <si>
    <t>Method</t>
  </si>
  <si>
    <t>Low multiple</t>
  </si>
  <si>
    <t>Median multiple</t>
  </si>
  <si>
    <t>High multiple</t>
  </si>
  <si>
    <t>Low value</t>
  </si>
  <si>
    <t>Median value</t>
  </si>
  <si>
    <t>High value</t>
  </si>
  <si>
    <t>Implied equity value (median of methods)</t>
  </si>
  <si>
    <t>Weighted Average Cost of Capital</t>
  </si>
  <si>
    <t>Aurora Retail Co. · discount rate</t>
  </si>
  <si>
    <t>Debt value</t>
  </si>
  <si>
    <t>Risk-free rate</t>
  </si>
  <si>
    <t>Beta</t>
  </si>
  <si>
    <t>Market risk premium</t>
  </si>
  <si>
    <t>Size / specific risk premium</t>
  </si>
  <si>
    <t>Pre-tax cost of debt</t>
  </si>
  <si>
    <t>Calculation</t>
  </si>
  <si>
    <t>Cost of equity (CAPM)</t>
  </si>
  <si>
    <t>After-tax cost of debt</t>
  </si>
  <si>
    <t>Equity weight (E / V)</t>
  </si>
  <si>
    <t>Debt weight (D / V)</t>
  </si>
  <si>
    <t>Monte Carlo Valuation</t>
  </si>
  <si>
    <t>Aurora Retail Co. · simulated DCF outcomes</t>
  </si>
  <si>
    <t>Assumptions used in the simulation</t>
  </si>
  <si>
    <t>Base revenue</t>
  </si>
  <si>
    <t>Growth mean</t>
  </si>
  <si>
    <t>Growth std. dev.</t>
  </si>
  <si>
    <t>EBITDA margin mean</t>
  </si>
  <si>
    <t>Margin std. dev.</t>
  </si>
  <si>
    <t>Simulations</t>
  </si>
  <si>
    <t>Results below were simulated in Finance Studio. Change the assumptions in the app and export again to re-run.</t>
  </si>
  <si>
    <t>Results: enterprise value</t>
  </si>
  <si>
    <t>P10 (downside)</t>
  </si>
  <si>
    <t>P50 (median)</t>
  </si>
  <si>
    <t>P90 (upside)</t>
  </si>
  <si>
    <t>Base case (no randomness)</t>
  </si>
  <si>
    <t>Probability above base case</t>
  </si>
  <si>
    <t>Distribution</t>
  </si>
  <si>
    <t>Bucket</t>
  </si>
  <si>
    <t>From</t>
  </si>
  <si>
    <t>To</t>
  </si>
  <si>
    <t>Bucket 1</t>
  </si>
  <si>
    <t>Bucket 2</t>
  </si>
  <si>
    <t>Bucket 3</t>
  </si>
  <si>
    <t>Bucket 4</t>
  </si>
  <si>
    <t>Bucket 5</t>
  </si>
  <si>
    <t>Bucket 6</t>
  </si>
  <si>
    <t>Bucket 7</t>
  </si>
  <si>
    <t>Bucket 8</t>
  </si>
  <si>
    <t>Bucket 9</t>
  </si>
  <si>
    <t>Bucket 10</t>
  </si>
  <si>
    <t>Bucket 11</t>
  </si>
  <si>
    <t>Bucket 12</t>
  </si>
  <si>
    <t>Bucket 13</t>
  </si>
  <si>
    <t>Bucket 14</t>
  </si>
  <si>
    <t>Bucket 15</t>
  </si>
  <si>
    <t>Bucket 16</t>
  </si>
  <si>
    <t>Bucket 17</t>
  </si>
  <si>
    <t>Bucket 18</t>
  </si>
  <si>
    <t>Bucket 19</t>
  </si>
  <si>
    <t>Bucket 20</t>
  </si>
  <si>
    <t>Bucket 21</t>
  </si>
  <si>
    <t>Bucket 22</t>
  </si>
  <si>
    <t>Bucket 23</t>
  </si>
  <si>
    <t>Bucket 24</t>
  </si>
  <si>
    <t>Leveraged Buyout</t>
  </si>
  <si>
    <t>Aurora Retail Co. · sponsor returns</t>
  </si>
  <si>
    <t>Entry EBITDA</t>
  </si>
  <si>
    <t>Entry multiple (x EBITDA)</t>
  </si>
  <si>
    <t>Debt (x EBITDA)</t>
  </si>
  <si>
    <t>Interest rate</t>
  </si>
  <si>
    <t>EBITDA growth</t>
  </si>
  <si>
    <t>Exit multiple (x EBITDA)</t>
  </si>
  <si>
    <t>CapEx % of EBITDA</t>
  </si>
  <si>
    <t>Cash used to repay debt</t>
  </si>
  <si>
    <t>Transaction fees % of EV</t>
  </si>
  <si>
    <t>Sources &amp; uses</t>
  </si>
  <si>
    <t>Purchase price (enterprise value)</t>
  </si>
  <si>
    <t>Transaction fees</t>
  </si>
  <si>
    <t>Total uses</t>
  </si>
  <si>
    <t>Debt raised</t>
  </si>
  <si>
    <t>Sponsor equity</t>
  </si>
  <si>
    <t>Debt schedule</t>
  </si>
  <si>
    <t/>
  </si>
  <si>
    <t>Entry</t>
  </si>
  <si>
    <t>Interest</t>
  </si>
  <si>
    <t>Taxes</t>
  </si>
  <si>
    <t>Free cash flow</t>
  </si>
  <si>
    <t>Debt repayment</t>
  </si>
  <si>
    <t>Debt balance (end of year)</t>
  </si>
  <si>
    <t>Cash balance</t>
  </si>
  <si>
    <t>Equity value at exit multiple</t>
  </si>
  <si>
    <t>Returns</t>
  </si>
  <si>
    <t>Exit equity value</t>
  </si>
  <si>
    <t>MOIC (multiple of invested capital)</t>
  </si>
  <si>
    <t>IRR</t>
  </si>
  <si>
    <t>Loan Amortization Schedule</t>
  </si>
  <si>
    <t>Aurora Retail Co. · debt service</t>
  </si>
  <si>
    <t>Loan amount</t>
  </si>
  <si>
    <t>Annual interest rate</t>
  </si>
  <si>
    <t>Term (years)</t>
  </si>
  <si>
    <t>Payments per year</t>
  </si>
  <si>
    <t>Payment</t>
  </si>
  <si>
    <t>Periodic interest rate</t>
  </si>
  <si>
    <t>Number of payments</t>
  </si>
  <si>
    <t>Payment per period</t>
  </si>
  <si>
    <t>Total paid</t>
  </si>
  <si>
    <t>Total interest</t>
  </si>
  <si>
    <t>Annual schedule</t>
  </si>
  <si>
    <t>Year</t>
  </si>
  <si>
    <t>Opening balance</t>
  </si>
  <si>
    <t>Payments</t>
  </si>
  <si>
    <t>Principal</t>
  </si>
  <si>
    <t>Closing balance</t>
  </si>
  <si>
    <t>NPV / IRR Investment Appraisal</t>
  </si>
  <si>
    <t>Aurora Retail Co. · project returns</t>
  </si>
  <si>
    <t>Initial investment</t>
  </si>
  <si>
    <t>Discount rate</t>
  </si>
  <si>
    <t>Reinvestment rate (MIRR)</t>
  </si>
  <si>
    <t>Cash flows (enter yearly cash flows in blue)</t>
  </si>
  <si>
    <t>Year 0</t>
  </si>
  <si>
    <t>Year 1</t>
  </si>
  <si>
    <t>Year 2</t>
  </si>
  <si>
    <t>Year 3</t>
  </si>
  <si>
    <t>Year 4</t>
  </si>
  <si>
    <t>Year 5</t>
  </si>
  <si>
    <t>Cash flow</t>
  </si>
  <si>
    <t>Discounted cash flow</t>
  </si>
  <si>
    <t>Cumulative cash flow</t>
  </si>
  <si>
    <t>Cumulative discounted cash flow</t>
  </si>
  <si>
    <t>Payback (helper)</t>
  </si>
  <si>
    <t>Discounted payback (helper)</t>
  </si>
  <si>
    <t>Results</t>
  </si>
  <si>
    <t>Net present value (NPV)</t>
  </si>
  <si>
    <t>Internal rate of return (IRR)</t>
  </si>
  <si>
    <t>Modified IRR (MIRR)</t>
  </si>
  <si>
    <t>Payback period</t>
  </si>
  <si>
    <t>Discounted payback period</t>
  </si>
  <si>
    <t>Profitability index</t>
  </si>
  <si>
    <t>Break-even Analysis</t>
  </si>
  <si>
    <t>Aurora Retail Co. · cost-volume-profit</t>
  </si>
  <si>
    <t>Fixed costs per year</t>
  </si>
  <si>
    <t>Price per unit</t>
  </si>
  <si>
    <t>Variable cost per unit</t>
  </si>
  <si>
    <t>Expected units sold</t>
  </si>
  <si>
    <t>Contribution margin per unit</t>
  </si>
  <si>
    <t>Break-even units</t>
  </si>
  <si>
    <t>Break-even revenue</t>
  </si>
  <si>
    <t>Expected profit</t>
  </si>
  <si>
    <t>Margin of safety</t>
  </si>
  <si>
    <t>Operating leverage</t>
  </si>
  <si>
    <t>Feasibility Report: New Store Expansion</t>
  </si>
  <si>
    <t>Investment appraisal of a new project</t>
  </si>
  <si>
    <t>Year-1 revenue</t>
  </si>
  <si>
    <t>Variable costs % of revenue</t>
  </si>
  <si>
    <t>Project life (years)</t>
  </si>
  <si>
    <t>Changing the life needs a new export (columns are fixed)</t>
  </si>
  <si>
    <t>Discount rate / hurdle</t>
  </si>
  <si>
    <t>Salvage value at end</t>
  </si>
  <si>
    <t>Projected cash flows</t>
  </si>
  <si>
    <t>Year 6</t>
  </si>
  <si>
    <t>Year 7</t>
  </si>
  <si>
    <t>Year 8</t>
  </si>
  <si>
    <t>Year 9</t>
  </si>
  <si>
    <t>Year 10</t>
  </si>
  <si>
    <t>Variable costs</t>
  </si>
  <si>
    <t>Fixed costs</t>
  </si>
  <si>
    <t>Depreciation (tax)</t>
  </si>
  <si>
    <t>Salvage value</t>
  </si>
  <si>
    <t>Net cash flow</t>
  </si>
  <si>
    <t>Break-even revenue per year</t>
  </si>
  <si>
    <t>Sensitivity (calculated at export)</t>
  </si>
  <si>
    <t>Scenario</t>
  </si>
  <si>
    <t>NPV</t>
  </si>
  <si>
    <t>Payback (yrs)</t>
  </si>
  <si>
    <t>Revenue −20%</t>
  </si>
  <si>
    <t>Revenue −10%</t>
  </si>
  <si>
    <t>Base case</t>
  </si>
  <si>
    <t>Revenue +10%</t>
  </si>
  <si>
    <t>Costs +10%</t>
  </si>
  <si>
    <t>Verdict: Feasible (4 of 4 checks passed)</t>
  </si>
  <si>
    <t>✓ NPV is $1.03M at a 10% hurdle rate</t>
  </si>
  <si>
    <t>✓ IRR of 19.3% beats the 10% hurdle</t>
  </si>
  <si>
    <t>✓ Payback in 4.8 yrs out of a 10-year life</t>
  </si>
  <si>
    <t>✓ NPV stays positive if revenue is 10% below plan</t>
  </si>
  <si>
    <t>Recommendations</t>
  </si>
  <si>
    <t>• Proceed to detailed planning. Track actual revenue against the base case each quarter.</t>
  </si>
  <si>
    <t>Ratio Analysis</t>
  </si>
  <si>
    <t>Aurora Retail Co. · calculated from Historicals</t>
  </si>
  <si>
    <t>Ratios by year</t>
  </si>
  <si>
    <t>Ratio</t>
  </si>
  <si>
    <t>Gross margin</t>
  </si>
  <si>
    <t>Net margin</t>
  </si>
  <si>
    <t>Current ratio</t>
  </si>
  <si>
    <t>Debt / Equity</t>
  </si>
  <si>
    <t>Debt / EBITDA</t>
  </si>
  <si>
    <t>Interest coverage (EBIT / interest)</t>
  </si>
  <si>
    <t>Return on assets</t>
  </si>
  <si>
    <t>Return on equity</t>
  </si>
  <si>
    <t>Cash conversion (OCF / net income)</t>
  </si>
  <si>
    <t>3-Statement Forecast</t>
  </si>
  <si>
    <t>Aurora Retail Co. · projected financials</t>
  </si>
  <si>
    <t>Operating expenses % of revenue</t>
  </si>
  <si>
    <t>Opening debt</t>
  </si>
  <si>
    <t>Debt repaid per year</t>
  </si>
  <si>
    <t>Opening cash</t>
  </si>
  <si>
    <t>Projected financial statements</t>
  </si>
  <si>
    <t>2024A</t>
  </si>
  <si>
    <t>Gross profit</t>
  </si>
  <si>
    <t>Operating expenses</t>
  </si>
  <si>
    <t>Interest expense</t>
  </si>
  <si>
    <t>Profit before tax</t>
  </si>
  <si>
    <t>Closing debt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</si>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</sst>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(#,##0);&quot;–&quot;"/>
    <numFmt numFmtId="165" formatCode="0.0%"/>
    <numFmt numFmtId="166" formatCode="0.0000"/>
    <numFmt numFmtId="167" formatCode="$#,##0.00;($#,##0.00)"/>
    <numFmt numFmtId="168" formatCode="0.00&quot;x&quot;"/>
    <numFmt numFmtId="169" formatCode="0.0000%"/>
    <numFmt numFmtId="170" formatCode="0.0 &quot;yrs&quot;"/>
  </numFmts>
  <fonts count="12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  <border>
      <left/>
      <right/>
      <top style="thin">
        <color rgb="FF9AA5B5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4" fontId="8" fillId="0" borderId="0" xfId="0" applyNumberFormat="1" applyFont="1"/>
    <xf numFmtId="165" fontId="7" fillId="4" borderId="0" xfId="0" applyNumberFormat="1" applyFont="1" applyFill="1"/>
    <xf numFmtId="3" fontId="7" fillId="4" borderId="0" xfId="0" applyNumberFormat="1" applyFont="1" applyFill="1"/>
    <xf numFmtId="164" fontId="0" fillId="0" borderId="0" xfId="0" applyNumberFormat="1"/>
    <xf numFmtId="164" fontId="11" fillId="0" borderId="3" xfId="0" applyNumberFormat="1" applyFont="1" applyBorder="1"/>
    <xf numFmtId="166" fontId="0" fillId="0" borderId="0" xfId="0" applyNumberFormat="1"/>
    <xf numFmtId="164" fontId="10" fillId="5" borderId="2" xfId="0" applyNumberFormat="1" applyFont="1" applyFill="1" applyBorder="1"/>
    <xf numFmtId="167" fontId="10" fillId="5" borderId="2" xfId="0" applyNumberFormat="1" applyFont="1" applyFill="1" applyBorder="1"/>
    <xf numFmtId="165" fontId="0" fillId="0" borderId="0" xfId="0" applyNumberFormat="1"/>
    <xf numFmtId="165" fontId="6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/>
    <xf numFmtId="168" fontId="7" fillId="4" borderId="0" xfId="0" applyNumberFormat="1" applyFont="1" applyFill="1"/>
    <xf numFmtId="168" fontId="0" fillId="0" borderId="0" xfId="0" applyNumberFormat="1"/>
    <xf numFmtId="10" fontId="7" fillId="4" borderId="0" xfId="0" applyNumberFormat="1" applyFont="1" applyFill="1"/>
    <xf numFmtId="2" fontId="7" fillId="4" borderId="0" xfId="0" applyNumberFormat="1" applyFont="1" applyFill="1"/>
    <xf numFmtId="10" fontId="0" fillId="0" borderId="0" xfId="0" applyNumberFormat="1"/>
    <xf numFmtId="10" fontId="10" fillId="5" borderId="2" xfId="0" applyNumberFormat="1" applyFont="1" applyFill="1" applyBorder="1"/>
    <xf numFmtId="3" fontId="0" fillId="0" borderId="0" xfId="0" applyNumberFormat="1"/>
    <xf numFmtId="165" fontId="10" fillId="5" borderId="2" xfId="0" applyNumberFormat="1" applyFont="1" applyFill="1" applyBorder="1"/>
    <xf numFmtId="168" fontId="10" fillId="5" borderId="2" xfId="0" applyNumberFormat="1" applyFont="1" applyFill="1" applyBorder="1"/>
    <xf numFmtId="169" fontId="0" fillId="0" borderId="0" xfId="0" applyNumberFormat="1"/>
    <xf numFmtId="1" fontId="4" fillId="0" borderId="0" xfId="0" applyNumberFormat="1" applyFont="1"/>
    <xf numFmtId="2" fontId="3" fillId="0" borderId="0" xfId="0" applyNumberFormat="1" applyFont="1"/>
    <xf numFmtId="170" fontId="10" fillId="5" borderId="2" xfId="0" applyNumberFormat="1" applyFont="1" applyFill="1" applyBorder="1"/>
    <xf numFmtId="167" fontId="7" fillId="4" borderId="0" xfId="0" applyNumberFormat="1" applyFont="1" applyFill="1"/>
    <xf numFmtId="167" fontId="0" fillId="0" borderId="0" xfId="0" applyNumberFormat="1"/>
    <xf numFmtId="3" fontId="10" fillId="5" borderId="2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2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1" spans="1:2" x14ac:dyDescent="0.25">
      <c r="A11" s="7" t="s">
        <v>12</v>
      </c>
      <c r="B11" s="4" t="s">
        <v>13</v>
      </c>
    </row>
    <row r="12" spans="1:2" x14ac:dyDescent="0.25">
      <c r="A12" s="7" t="s">
        <v>14</v>
      </c>
      <c r="B12" s="4" t="s">
        <v>15</v>
      </c>
    </row>
    <row r="13" spans="1:2" x14ac:dyDescent="0.25">
      <c r="A13" s="7" t="s">
        <v>16</v>
      </c>
      <c r="B13" s="4" t="s">
        <v>17</v>
      </c>
    </row>
    <row r="14" spans="1:2" x14ac:dyDescent="0.25">
      <c r="A14" s="7" t="s">
        <v>18</v>
      </c>
      <c r="B14" s="4" t="s">
        <v>19</v>
      </c>
    </row>
    <row r="15" spans="1:2" x14ac:dyDescent="0.25">
      <c r="A15" s="7" t="s">
        <v>20</v>
      </c>
      <c r="B15" s="4" t="s">
        <v>21</v>
      </c>
    </row>
    <row r="16" spans="1:2" x14ac:dyDescent="0.25">
      <c r="A16" s="7" t="s">
        <v>22</v>
      </c>
      <c r="B16" s="4" t="s">
        <v>23</v>
      </c>
    </row>
    <row r="17" spans="1:2" x14ac:dyDescent="0.25">
      <c r="A17" s="7" t="s">
        <v>24</v>
      </c>
      <c r="B17" s="4" t="s">
        <v>25</v>
      </c>
    </row>
    <row r="18" spans="1:2" x14ac:dyDescent="0.25">
      <c r="A18" s="7" t="s">
        <v>26</v>
      </c>
      <c r="B18" s="4" t="s">
        <v>27</v>
      </c>
    </row>
    <row r="19" spans="1:2" x14ac:dyDescent="0.25">
      <c r="A19" s="7" t="s">
        <v>28</v>
      </c>
      <c r="B19" s="4" t="s">
        <v>29</v>
      </c>
    </row>
    <row r="20" spans="1:2" x14ac:dyDescent="0.25">
      <c r="A20" s="7" t="s">
        <v>30</v>
      </c>
      <c r="B20" s="4" t="s">
        <v>31</v>
      </c>
    </row>
    <row r="22" spans="1:3" x14ac:dyDescent="0.25">
      <c r="A22" s="5" t="s">
        <v>32</v>
      </c>
      <c r="B22" s="5"/>
      <c r="C22" s="5"/>
    </row>
    <row r="23" spans="1:2" x14ac:dyDescent="0.25">
      <c r="A23" s="8" t="s">
        <v>33</v>
      </c>
      <c r="B23" s="4" t="s">
        <v>34</v>
      </c>
    </row>
    <row r="24" spans="1:2" x14ac:dyDescent="0.25">
      <c r="A24" s="9" t="s">
        <v>35</v>
      </c>
      <c r="B24" s="4" t="s">
        <v>36</v>
      </c>
    </row>
    <row r="25" spans="1:2" x14ac:dyDescent="0.25">
      <c r="A25" s="10" t="s">
        <v>37</v>
      </c>
      <c r="B25" s="4" t="s">
        <v>38</v>
      </c>
    </row>
    <row r="26" spans="1:2" x14ac:dyDescent="0.25">
      <c r="A26" s="11" t="s">
        <v>39</v>
      </c>
      <c r="B26" s="4" t="s">
        <v>40</v>
      </c>
    </row>
    <row r="28" spans="1:1" x14ac:dyDescent="0.25">
      <c r="A28" s="3" t="s">
        <v>41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42</v>
      </c>
    </row>
    <row r="2" spans="1:1" x14ac:dyDescent="0.25">
      <c r="A2" s="2" t="s">
        <v>43</v>
      </c>
    </row>
    <row r="3" spans="1:1" x14ac:dyDescent="0.25">
      <c r="A3" s="3" t="s">
        <v>2</v>
      </c>
    </row>
    <row r="5" spans="1:6" x14ac:dyDescent="0.25">
      <c r="A5" s="5" t="s">
        <v>44</v>
      </c>
      <c r="B5" s="5"/>
      <c r="C5" s="5"/>
      <c r="D5" s="5"/>
      <c r="E5" s="5"/>
      <c r="F5" s="5"/>
    </row>
    <row r="6" spans="1:6" x14ac:dyDescent="0.25">
      <c r="A6" s="6" t="s">
        <v>45</v>
      </c>
      <c r="B6" s="12" t="s">
        <v>46</v>
      </c>
      <c r="C6" s="12" t="s">
        <v>47</v>
      </c>
      <c r="D6" s="12" t="s">
        <v>48</v>
      </c>
      <c r="E6" s="12" t="s">
        <v>49</v>
      </c>
      <c r="F6" s="12" t="s">
        <v>50</v>
      </c>
    </row>
    <row r="7" spans="1:6" x14ac:dyDescent="0.25">
      <c r="A7" s="4" t="s">
        <v>51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52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53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54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55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56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57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58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59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60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61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62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63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64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65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66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67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68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48"/>
  <sheetViews>
    <sheetView workbookViewId="0" showGridLines="0"/>
  </sheetViews>
  <sheetFormatPr defaultRowHeight="15" outlineLevelRow="0" outlineLevelCol="0" x14ac:dyDescent="55"/>
  <cols>
    <col min="1" max="1" width="40" customWidth="1"/>
    <col min="2" max="6" width="15" customWidth="1"/>
  </cols>
  <sheetData>
    <row r="1" spans="1:1" x14ac:dyDescent="0.25">
      <c r="A1" s="1" t="s">
        <v>69</v>
      </c>
    </row>
    <row r="2" spans="1:1" x14ac:dyDescent="0.25">
      <c r="A2" s="2" t="s">
        <v>70</v>
      </c>
    </row>
    <row r="3" spans="1:1" x14ac:dyDescent="0.25">
      <c r="A3" s="3" t="s">
        <v>2</v>
      </c>
    </row>
    <row r="5" spans="1:6" x14ac:dyDescent="0.25">
      <c r="A5" s="5" t="s">
        <v>71</v>
      </c>
      <c r="B5" s="5"/>
      <c r="C5" s="5"/>
      <c r="D5" s="5"/>
      <c r="E5" s="5"/>
      <c r="F5" s="5"/>
    </row>
    <row r="6" spans="1:2" x14ac:dyDescent="0.25">
      <c r="A6" s="4" t="s">
        <v>72</v>
      </c>
      <c r="B6" s="14">
        <f>Historicals!$F$7</f>
        <v>13100000</v>
      </c>
    </row>
    <row r="7" spans="1:2" x14ac:dyDescent="0.25">
      <c r="A7" s="4" t="s">
        <v>73</v>
      </c>
      <c r="B7" s="15">
        <v>0.124</v>
      </c>
    </row>
    <row r="8" spans="1:2" x14ac:dyDescent="0.25">
      <c r="A8" s="4" t="s">
        <v>74</v>
      </c>
      <c r="B8" s="15">
        <v>0.22899999999999998</v>
      </c>
    </row>
    <row r="9" spans="1:2" x14ac:dyDescent="0.25">
      <c r="A9" s="4" t="s">
        <v>75</v>
      </c>
      <c r="B9" s="15">
        <v>0.034</v>
      </c>
    </row>
    <row r="10" spans="1:2" x14ac:dyDescent="0.25">
      <c r="A10" s="4" t="s">
        <v>76</v>
      </c>
      <c r="B10" s="15">
        <v>0.061</v>
      </c>
    </row>
    <row r="11" spans="1:2" x14ac:dyDescent="0.25">
      <c r="A11" s="4" t="s">
        <v>77</v>
      </c>
      <c r="B11" s="15">
        <v>0.1</v>
      </c>
    </row>
    <row r="12" spans="1:2" x14ac:dyDescent="0.25">
      <c r="A12" s="4" t="s">
        <v>78</v>
      </c>
      <c r="B12" s="15">
        <v>0.25</v>
      </c>
    </row>
    <row r="13" spans="1:2" x14ac:dyDescent="0.25">
      <c r="A13" s="4" t="s">
        <v>79</v>
      </c>
      <c r="B13" s="15">
        <v>0.1</v>
      </c>
    </row>
    <row r="14" spans="1:2" x14ac:dyDescent="0.25">
      <c r="A14" s="4" t="s">
        <v>80</v>
      </c>
      <c r="B14" s="15">
        <v>0.025</v>
      </c>
    </row>
    <row r="15" spans="1:3" x14ac:dyDescent="0.25">
      <c r="A15" s="4" t="s">
        <v>81</v>
      </c>
      <c r="B15" s="14">
        <f>Historicals!$F$21-Historicals!$F$16</f>
        <v>-100000</v>
      </c>
      <c r="C15" s="3" t="s">
        <v>82</v>
      </c>
    </row>
    <row r="16" spans="1:2" x14ac:dyDescent="0.25">
      <c r="A16" s="4" t="s">
        <v>83</v>
      </c>
      <c r="B16" s="16">
        <v>1000000</v>
      </c>
    </row>
    <row r="18" spans="1:6" x14ac:dyDescent="0.25">
      <c r="A18" s="5" t="s">
        <v>84</v>
      </c>
      <c r="B18" s="5"/>
      <c r="C18" s="5"/>
      <c r="D18" s="5"/>
      <c r="E18" s="5"/>
      <c r="F18" s="5"/>
    </row>
    <row r="19" spans="1:6" x14ac:dyDescent="0.25">
      <c r="A19" s="6" t="s">
        <v>85</v>
      </c>
      <c r="B19" s="12" t="s">
        <v>86</v>
      </c>
      <c r="C19" s="12" t="s">
        <v>87</v>
      </c>
      <c r="D19" s="12" t="s">
        <v>88</v>
      </c>
      <c r="E19" s="12" t="s">
        <v>89</v>
      </c>
      <c r="F19" s="12" t="s">
        <v>90</v>
      </c>
    </row>
    <row r="20" spans="1:6" x14ac:dyDescent="0.25">
      <c r="A20" s="4" t="s">
        <v>51</v>
      </c>
      <c r="B20" s="17">
        <f>$B$6*(1+$B$7)</f>
        <v>14724400.000000002</v>
      </c>
      <c r="C20" s="17">
        <f>B20*(1+$B$7)</f>
        <v>16550225.600000003</v>
      </c>
      <c r="D20" s="17">
        <f>C20*(1+$B$7)</f>
        <v>18602453.574400004</v>
      </c>
      <c r="E20" s="17">
        <f>D20*(1+$B$7)</f>
        <v>20909157.81762561</v>
      </c>
      <c r="F20" s="17">
        <f>E20*(1+$B$7)</f>
        <v>23501893.387011185</v>
      </c>
    </row>
    <row r="21" spans="1:6" x14ac:dyDescent="0.25">
      <c r="A21" s="4" t="s">
        <v>55</v>
      </c>
      <c r="B21" s="17">
        <f>B20*$B$8</f>
        <v>3371887.6</v>
      </c>
      <c r="C21" s="17">
        <f>C20*$B$8</f>
        <v>3790001.6624000003</v>
      </c>
      <c r="D21" s="17">
        <f>D20*$B$8</f>
        <v>4259961.8685376</v>
      </c>
      <c r="E21" s="17">
        <f>E20*$B$8</f>
        <v>4788197.140236264</v>
      </c>
      <c r="F21" s="17">
        <f>F20*$B$8</f>
        <v>5381933.585625561</v>
      </c>
    </row>
    <row r="22" spans="1:6" x14ac:dyDescent="0.25">
      <c r="A22" s="4" t="s">
        <v>91</v>
      </c>
      <c r="B22" s="17">
        <f>B20*$B$9</f>
        <v>500629.6000000001</v>
      </c>
      <c r="C22" s="17">
        <f>C20*$B$9</f>
        <v>562707.6704000002</v>
      </c>
      <c r="D22" s="17">
        <f>D20*$B$9</f>
        <v>632483.4215296002</v>
      </c>
      <c r="E22" s="17">
        <f>E20*$B$9</f>
        <v>710911.3657992707</v>
      </c>
      <c r="F22" s="17">
        <f>F20*$B$9</f>
        <v>799064.3751583804</v>
      </c>
    </row>
    <row r="23" spans="1:6" x14ac:dyDescent="0.25">
      <c r="A23" s="4" t="s">
        <v>57</v>
      </c>
      <c r="B23" s="17">
        <f>B21-B22</f>
        <v>2871258</v>
      </c>
      <c r="C23" s="17">
        <f>C21-C22</f>
        <v>3227293.992</v>
      </c>
      <c r="D23" s="17">
        <f>D21-D22</f>
        <v>3627478.4470079998</v>
      </c>
      <c r="E23" s="17">
        <f>E21-E22</f>
        <v>4077285.7744369935</v>
      </c>
      <c r="F23" s="17">
        <f>F21-F22</f>
        <v>4582869.21046718</v>
      </c>
    </row>
    <row r="24" spans="1:6" x14ac:dyDescent="0.25">
      <c r="A24" s="4" t="s">
        <v>92</v>
      </c>
      <c r="B24" s="17">
        <f>B23*$B$12</f>
        <v>717814.5</v>
      </c>
      <c r="C24" s="17">
        <f>C23*$B$12</f>
        <v>806823.498</v>
      </c>
      <c r="D24" s="17">
        <f>D23*$B$12</f>
        <v>906869.6117519999</v>
      </c>
      <c r="E24" s="17">
        <f>E23*$B$12</f>
        <v>1019321.4436092484</v>
      </c>
      <c r="F24" s="17">
        <f>F23*$B$12</f>
        <v>1145717.302616795</v>
      </c>
    </row>
    <row r="25" spans="1:6" x14ac:dyDescent="0.25">
      <c r="A25" s="4" t="s">
        <v>93</v>
      </c>
      <c r="B25" s="17">
        <f>B23-B24</f>
        <v>2153443.5</v>
      </c>
      <c r="C25" s="17">
        <f>C23-C24</f>
        <v>2420470.494</v>
      </c>
      <c r="D25" s="17">
        <f>D23-D24</f>
        <v>2720608.835256</v>
      </c>
      <c r="E25" s="17">
        <f>E23-E24</f>
        <v>3057964.330827745</v>
      </c>
      <c r="F25" s="17">
        <f>F23-F24</f>
        <v>3437151.907850385</v>
      </c>
    </row>
    <row r="26" spans="1:6" x14ac:dyDescent="0.25">
      <c r="A26" s="4" t="s">
        <v>94</v>
      </c>
      <c r="B26" s="17">
        <f>B20*$B$10</f>
        <v>898188.4000000001</v>
      </c>
      <c r="C26" s="17">
        <f>C20*$B$10</f>
        <v>1009563.7616000002</v>
      </c>
      <c r="D26" s="17">
        <f>D20*$B$10</f>
        <v>1134749.6680384001</v>
      </c>
      <c r="E26" s="17">
        <f>E20*$B$10</f>
        <v>1275458.6268751621</v>
      </c>
      <c r="F26" s="17">
        <f>F20*$B$10</f>
        <v>1433615.4966076822</v>
      </c>
    </row>
    <row r="27" spans="1:6" x14ac:dyDescent="0.25">
      <c r="A27" s="4" t="s">
        <v>95</v>
      </c>
      <c r="B27" s="17">
        <f>(B20-$B$6)*$B$11</f>
        <v>162440.0000000002</v>
      </c>
      <c r="C27" s="17">
        <f>(C20-B20)*$B$11</f>
        <v>182582.56000000017</v>
      </c>
      <c r="D27" s="17">
        <f>(D20-C20)*$B$11</f>
        <v>205222.79744000008</v>
      </c>
      <c r="E27" s="17">
        <f>(E20-D20)*$B$11</f>
        <v>230670.42432256043</v>
      </c>
      <c r="F27" s="17">
        <f>(F20-E20)*$B$11</f>
        <v>259273.5569385577</v>
      </c>
    </row>
    <row r="28" spans="1:6" x14ac:dyDescent="0.25">
      <c r="A28" s="7" t="s">
        <v>96</v>
      </c>
      <c r="B28" s="18">
        <f>B25+B22-B26-B27</f>
        <v>1593444.6999999997</v>
      </c>
      <c r="C28" s="18">
        <f>C25+C22-C26-C27</f>
        <v>1791031.8427999998</v>
      </c>
      <c r="D28" s="18">
        <f>D25+D22-D26-D27</f>
        <v>2013119.7913072004</v>
      </c>
      <c r="E28" s="18">
        <f>E25+E22-E26-E27</f>
        <v>2262746.645429293</v>
      </c>
      <c r="F28" s="18">
        <f>F25+F22-F26-F27</f>
        <v>2543327.2294625253</v>
      </c>
    </row>
    <row r="29" spans="1:6" x14ac:dyDescent="0.25">
      <c r="A29" s="4" t="s">
        <v>97</v>
      </c>
      <c r="B29" s="19">
        <f>1/(1+$B$13)^1</f>
        <v>0.9090909090909091</v>
      </c>
      <c r="C29" s="19">
        <f>1/(1+$B$13)^2</f>
        <v>0.8264462809917354</v>
      </c>
      <c r="D29" s="19">
        <f>1/(1+$B$13)^3</f>
        <v>0.7513148009015775</v>
      </c>
      <c r="E29" s="19">
        <f>1/(1+$B$13)^4</f>
        <v>0.6830134553650705</v>
      </c>
      <c r="F29" s="19">
        <f>1/(1+$B$13)^5</f>
        <v>0.6209213230591549</v>
      </c>
    </row>
    <row r="30" spans="1:6" x14ac:dyDescent="0.25">
      <c r="A30" s="4" t="s">
        <v>98</v>
      </c>
      <c r="B30" s="17">
        <f>B28*B29</f>
        <v>1448586.0909090906</v>
      </c>
      <c r="C30" s="17">
        <f>C28*C29</f>
        <v>1480191.6056198343</v>
      </c>
      <c r="D30" s="17">
        <f>D28*D29</f>
        <v>1512486.6951969946</v>
      </c>
      <c r="E30" s="17">
        <f>E28*E29</f>
        <v>1545486.4049103835</v>
      </c>
      <c r="F30" s="17">
        <f>F28*F29</f>
        <v>1579206.1082902462</v>
      </c>
    </row>
    <row r="32" spans="1:6" x14ac:dyDescent="0.25">
      <c r="A32" s="5" t="s">
        <v>99</v>
      </c>
      <c r="B32" s="5"/>
      <c r="C32" s="5"/>
      <c r="D32" s="5"/>
      <c r="E32" s="5"/>
      <c r="F32" s="5"/>
    </row>
    <row r="33" spans="1:2" x14ac:dyDescent="0.25">
      <c r="A33" s="4" t="s">
        <v>100</v>
      </c>
      <c r="B33" s="17">
        <f>SUM(B30:F30)</f>
        <v>7565956.90492655</v>
      </c>
    </row>
    <row r="34" spans="1:2" x14ac:dyDescent="0.25">
      <c r="A34" s="4" t="s">
        <v>101</v>
      </c>
      <c r="B34" s="17">
        <f>F28*(1+$B$14)/($B$13-$B$14)</f>
        <v>34758805.46932117</v>
      </c>
    </row>
    <row r="35" spans="1:2" x14ac:dyDescent="0.25">
      <c r="A35" s="4" t="s">
        <v>102</v>
      </c>
      <c r="B35" s="17">
        <f>B34*F29</f>
        <v>21582483.479966693</v>
      </c>
    </row>
    <row r="36" spans="1:2" x14ac:dyDescent="0.25">
      <c r="A36" s="7" t="s">
        <v>103</v>
      </c>
      <c r="B36" s="20">
        <f>B33+B35</f>
        <v>29148440.384893242</v>
      </c>
    </row>
    <row r="37" spans="1:2" x14ac:dyDescent="0.25">
      <c r="A37" s="4" t="s">
        <v>104</v>
      </c>
      <c r="B37" s="17">
        <f>$B$15</f>
        <v>-100000</v>
      </c>
    </row>
    <row r="38" spans="1:2" x14ac:dyDescent="0.25">
      <c r="A38" s="7" t="s">
        <v>105</v>
      </c>
      <c r="B38" s="20">
        <f>B36-B37</f>
        <v>29248440.384893242</v>
      </c>
    </row>
    <row r="39" spans="1:2" x14ac:dyDescent="0.25">
      <c r="A39" s="7" t="s">
        <v>106</v>
      </c>
      <c r="B39" s="21">
        <f>B38/$B$16</f>
        <v>29.248440384893243</v>
      </c>
    </row>
    <row r="40" spans="1:2" x14ac:dyDescent="0.25">
      <c r="A40" s="4" t="s">
        <v>107</v>
      </c>
      <c r="B40" s="22">
        <f>B35/B36</f>
        <v>0.7404335599084829</v>
      </c>
    </row>
    <row r="42" spans="1:6" x14ac:dyDescent="0.25">
      <c r="A42" s="5" t="s">
        <v>108</v>
      </c>
      <c r="B42" s="5"/>
      <c r="C42" s="5"/>
      <c r="D42" s="5"/>
      <c r="E42" s="5"/>
      <c r="F42" s="5"/>
    </row>
    <row r="43" spans="1:6" x14ac:dyDescent="0.25">
      <c r="A43" s="6" t="s">
        <v>109</v>
      </c>
      <c r="B43" s="23">
        <f>$B$14+-0.01</f>
        <v>0.015000000000000001</v>
      </c>
      <c r="C43" s="23">
        <f>$B$14+-0.005</f>
        <v>0.02</v>
      </c>
      <c r="D43" s="23">
        <f>$B$14+0</f>
        <v>0.025</v>
      </c>
      <c r="E43" s="23">
        <f>$B$14+0.005</f>
        <v>0.030000000000000002</v>
      </c>
      <c r="F43" s="23">
        <f>$B$14+0.01</f>
        <v>0.035</v>
      </c>
    </row>
    <row r="44" spans="1:6" x14ac:dyDescent="0.25">
      <c r="A44" s="24">
        <f>$B$13+-0.02</f>
        <v>0.08</v>
      </c>
      <c r="B44" s="17">
        <f>NPV($A44,$B$28:$F$28)+$F$28*(1+B$43)/($A44-B$43)/(1+$A44)^5</f>
        <v>35032528.44764705</v>
      </c>
      <c r="C44" s="17">
        <f>NPV($A44,$B$28:$F$28)+$F$28*(1+C$43)/($A44-C$43)/(1+$A44)^5</f>
        <v>37429222.600320205</v>
      </c>
      <c r="D44" s="17">
        <f>NPV($A44,$B$28:$F$28)+$F$28*(1+D$43)/($A44-D$43)/(1+$A44)^5</f>
        <v>40261679.32620664</v>
      </c>
      <c r="E44" s="17">
        <f>NPV($A44,$B$28:$F$28)+$F$28*(1+E$43)/($A44-E$43)/(1+$A44)^5</f>
        <v>43660627.39727037</v>
      </c>
      <c r="F44" s="17">
        <f>NPV($A44,$B$28:$F$28)+$F$28*(1+F$43)/($A44-F$43)/(1+$A44)^5</f>
        <v>47814897.26190382</v>
      </c>
    </row>
    <row r="45" spans="1:6" x14ac:dyDescent="0.25">
      <c r="A45" s="24">
        <f>$B$13+-0.01</f>
        <v>0.09000000000000001</v>
      </c>
      <c r="B45" s="17">
        <f>NPV($A45,$B$28:$F$28)+$F$28*(1+B$43)/($A45-B$43)/(1+$A45)^5</f>
        <v>30150264.54825244</v>
      </c>
      <c r="C45" s="17">
        <f>NPV($A45,$B$28:$F$28)+$F$28*(1+C$43)/($A45-C$43)/(1+$A45)^5</f>
        <v>31866223.7190523</v>
      </c>
      <c r="D45" s="17">
        <f>NPV($A45,$B$28:$F$28)+$F$28*(1+D$43)/($A45-D$43)/(1+$A45)^5</f>
        <v>33846176.60843675</v>
      </c>
      <c r="E45" s="17">
        <f>NPV($A45,$B$28:$F$28)+$F$28*(1+E$43)/($A45-E$43)/(1+$A45)^5</f>
        <v>36156121.64605195</v>
      </c>
      <c r="F45" s="17">
        <f>NPV($A45,$B$28:$F$28)+$F$28*(1+F$43)/($A45-F$43)/(1+$A45)^5</f>
        <v>38886056.690506265</v>
      </c>
    </row>
    <row r="46" spans="1:6" x14ac:dyDescent="0.25">
      <c r="A46" s="24">
        <f>$B$13+0</f>
        <v>0.1</v>
      </c>
      <c r="B46" s="17">
        <f>NPV($A46,$B$28:$F$28)+$F$28*(1+B$43)/($A46-B$43)/(1+$A46)^5</f>
        <v>26423535.72745125</v>
      </c>
      <c r="C46" s="17">
        <f>NPV($A46,$B$28:$F$28)+$F$28*(1+C$43)/($A46-C$43)/(1+$A46)^5</f>
        <v>27700834.785627186</v>
      </c>
      <c r="D46" s="20">
        <f>NPV($A46,$B$28:$F$28)+$F$28*(1+D$43)/($A46-D$43)/(1+$A46)^5</f>
        <v>29148440.384893242</v>
      </c>
      <c r="E46" s="17">
        <f>NPV($A46,$B$28:$F$28)+$F$28*(1+E$43)/($A46-E$43)/(1+$A46)^5</f>
        <v>30802846.78405446</v>
      </c>
      <c r="F46" s="17">
        <f>NPV($A46,$B$28:$F$28)+$F$28*(1+F$43)/($A46-F$43)/(1+$A46)^5</f>
        <v>32711777.244625084</v>
      </c>
    </row>
    <row r="47" spans="1:6" x14ac:dyDescent="0.25">
      <c r="A47" s="24">
        <f>$B$13+0.01</f>
        <v>0.11</v>
      </c>
      <c r="B47" s="17">
        <f>NPV($A47,$B$28:$F$28)+$F$28*(1+B$43)/($A47-B$43)/(1+$A47)^5</f>
        <v>23487151.619725984</v>
      </c>
      <c r="C47" s="17">
        <f>NPV($A47,$B$28:$F$28)+$F$28*(1+C$43)/($A47-C$43)/(1+$A47)^5</f>
        <v>24466899.235768884</v>
      </c>
      <c r="D47" s="17">
        <f>NPV($A47,$B$28:$F$28)+$F$28*(1+D$43)/($A47-D$43)/(1+$A47)^5</f>
        <v>25561911.27722859</v>
      </c>
      <c r="E47" s="17">
        <f>NPV($A47,$B$28:$F$28)+$F$28*(1+E$43)/($A47-E$43)/(1+$A47)^5</f>
        <v>26793799.823870763</v>
      </c>
      <c r="F47" s="17">
        <f>NPV($A47,$B$28:$F$28)+$F$28*(1+F$43)/($A47-F$43)/(1+$A47)^5</f>
        <v>28189940.176731892</v>
      </c>
    </row>
    <row r="48" spans="1:6" x14ac:dyDescent="0.25">
      <c r="A48" s="24">
        <f>$B$13+0.02</f>
        <v>0.12000000000000001</v>
      </c>
      <c r="B48" s="17">
        <f>NPV($A48,$B$28:$F$28)+$F$28*(1+B$43)/($A48-B$43)/(1+$A48)^5</f>
        <v>21115056.583035972</v>
      </c>
      <c r="C48" s="17">
        <f>NPV($A48,$B$28:$F$28)+$F$28*(1+C$43)/($A48-C$43)/(1+$A48)^5</f>
        <v>21884737.741903927</v>
      </c>
      <c r="D48" s="17">
        <f>NPV($A48,$B$28:$F$28)+$F$28*(1+D$43)/($A48-D$43)/(1+$A48)^5</f>
        <v>22735437.970126405</v>
      </c>
      <c r="E48" s="17">
        <f>NPV($A48,$B$28:$F$28)+$F$28*(1+E$43)/($A48-E$43)/(1+$A48)^5</f>
        <v>23680660.44592916</v>
      </c>
      <c r="F48" s="17">
        <f>NPV($A48,$B$28:$F$28)+$F$28*(1+F$43)/($A48-F$43)/(1+$A48)^5</f>
        <v>24737085.565943997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5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6" customWidth="1"/>
  </cols>
  <sheetData>
    <row r="1" spans="1:1" x14ac:dyDescent="0.25">
      <c r="A1" s="1" t="s">
        <v>110</v>
      </c>
    </row>
    <row r="2" spans="1:1" x14ac:dyDescent="0.25">
      <c r="A2" s="2" t="s">
        <v>111</v>
      </c>
    </row>
    <row r="3" spans="1:1" x14ac:dyDescent="0.25">
      <c r="A3" s="3" t="s">
        <v>2</v>
      </c>
    </row>
    <row r="5" spans="1:7" x14ac:dyDescent="0.25">
      <c r="A5" s="5" t="s">
        <v>112</v>
      </c>
      <c r="B5" s="5"/>
      <c r="C5" s="5"/>
      <c r="D5" s="5"/>
      <c r="E5" s="5"/>
      <c r="F5" s="5"/>
      <c r="G5" s="5"/>
    </row>
    <row r="6" spans="1:2" x14ac:dyDescent="0.25">
      <c r="A6" s="4" t="s">
        <v>51</v>
      </c>
      <c r="B6" s="14">
        <f>Historicals!$F$7</f>
        <v>13100000</v>
      </c>
    </row>
    <row r="7" spans="1:2" x14ac:dyDescent="0.25">
      <c r="A7" s="4" t="s">
        <v>55</v>
      </c>
      <c r="B7" s="14">
        <f>Historicals!$F$11</f>
        <v>3000000</v>
      </c>
    </row>
    <row r="8" spans="1:2" x14ac:dyDescent="0.25">
      <c r="A8" s="4" t="s">
        <v>113</v>
      </c>
      <c r="B8" s="14">
        <f>Historicals!$F$15</f>
        <v>1815000</v>
      </c>
    </row>
    <row r="9" spans="1:2" x14ac:dyDescent="0.25">
      <c r="A9" s="4" t="s">
        <v>81</v>
      </c>
      <c r="B9" s="14">
        <f>Historicals!$F$21-Historicals!$F$16</f>
        <v>-100000</v>
      </c>
    </row>
    <row r="11" spans="1:7" x14ac:dyDescent="0.25">
      <c r="A11" s="5" t="s">
        <v>114</v>
      </c>
      <c r="B11" s="5"/>
      <c r="C11" s="5"/>
      <c r="D11" s="5"/>
      <c r="E11" s="5"/>
      <c r="F11" s="5"/>
      <c r="G11" s="5"/>
    </row>
    <row r="12" spans="1:4" x14ac:dyDescent="0.25">
      <c r="A12" s="6" t="s">
        <v>115</v>
      </c>
      <c r="B12" s="12" t="s">
        <v>116</v>
      </c>
      <c r="C12" s="12" t="s">
        <v>117</v>
      </c>
      <c r="D12" s="12" t="s">
        <v>118</v>
      </c>
    </row>
    <row r="13" spans="1:4" x14ac:dyDescent="0.25">
      <c r="A13" s="4" t="s">
        <v>119</v>
      </c>
      <c r="B13" s="25">
        <v>7.5</v>
      </c>
      <c r="C13" s="25">
        <v>1.1</v>
      </c>
      <c r="D13" s="25">
        <v>14</v>
      </c>
    </row>
    <row r="14" spans="1:4" x14ac:dyDescent="0.25">
      <c r="A14" s="4" t="s">
        <v>120</v>
      </c>
      <c r="B14" s="25">
        <v>8.2</v>
      </c>
      <c r="C14" s="25">
        <v>1.4</v>
      </c>
      <c r="D14" s="25">
        <v>16.5</v>
      </c>
    </row>
    <row r="15" spans="1:4" x14ac:dyDescent="0.25">
      <c r="A15" s="4" t="s">
        <v>121</v>
      </c>
      <c r="B15" s="25">
        <v>9</v>
      </c>
      <c r="C15" s="25">
        <v>1.6</v>
      </c>
      <c r="D15" s="25">
        <v>18</v>
      </c>
    </row>
    <row r="16" spans="1:4" x14ac:dyDescent="0.25">
      <c r="A16" s="4" t="s">
        <v>122</v>
      </c>
      <c r="B16" s="25">
        <v>10.1</v>
      </c>
      <c r="C16" s="25">
        <v>1.9</v>
      </c>
      <c r="D16" s="25">
        <v>21</v>
      </c>
    </row>
    <row r="17" spans="1:2" x14ac:dyDescent="0.25">
      <c r="A17" s="4" t="s">
        <v>123</v>
      </c>
      <c r="B17" s="25">
        <v>11.4</v>
      </c>
    </row>
    <row r="19" spans="1:7" x14ac:dyDescent="0.25">
      <c r="A19" s="5" t="s">
        <v>124</v>
      </c>
      <c r="B19" s="5"/>
      <c r="C19" s="5"/>
      <c r="D19" s="5"/>
      <c r="E19" s="5"/>
      <c r="F19" s="5"/>
      <c r="G19" s="5"/>
    </row>
    <row r="20" spans="1:7" x14ac:dyDescent="0.25">
      <c r="A20" s="6" t="s">
        <v>125</v>
      </c>
      <c r="B20" s="12" t="s">
        <v>126</v>
      </c>
      <c r="C20" s="12" t="s">
        <v>127</v>
      </c>
      <c r="D20" s="12" t="s">
        <v>128</v>
      </c>
      <c r="E20" s="12" t="s">
        <v>129</v>
      </c>
      <c r="F20" s="12" t="s">
        <v>130</v>
      </c>
      <c r="G20" s="12" t="s">
        <v>131</v>
      </c>
    </row>
    <row r="21" spans="1:7" x14ac:dyDescent="0.25">
      <c r="A21" s="4" t="s">
        <v>116</v>
      </c>
      <c r="B21" s="26">
        <f>MIN(B$13:B$17)</f>
        <v>7.5</v>
      </c>
      <c r="C21" s="26">
        <f>MEDIAN(B$13:B$17)</f>
        <v>9</v>
      </c>
      <c r="D21" s="26">
        <f>MAX(B$13:B$17)</f>
        <v>11.4</v>
      </c>
      <c r="E21" s="17">
        <f>B21*$B$7-$B$9</f>
        <v>22600000</v>
      </c>
      <c r="F21" s="17">
        <f>C21*$B$7-$B$9</f>
        <v>27100000</v>
      </c>
      <c r="G21" s="17">
        <f>D21*$B$7-$B$9</f>
        <v>34300000</v>
      </c>
    </row>
    <row r="22" spans="1:7" x14ac:dyDescent="0.25">
      <c r="A22" s="4" t="s">
        <v>117</v>
      </c>
      <c r="B22" s="26">
        <f>MIN(C$13:C$17)</f>
        <v>1.1</v>
      </c>
      <c r="C22" s="26">
        <f>MEDIAN(C$13:C$17)</f>
        <v>1.5</v>
      </c>
      <c r="D22" s="26">
        <f>MAX(C$13:C$17)</f>
        <v>1.9</v>
      </c>
      <c r="E22" s="17">
        <f>B22*$B$6-$B$9</f>
        <v>14510000.000000002</v>
      </c>
      <c r="F22" s="17">
        <f>C22*$B$6-$B$9</f>
        <v>19750000</v>
      </c>
      <c r="G22" s="17">
        <f>D22*$B$6-$B$9</f>
        <v>24990000</v>
      </c>
    </row>
    <row r="23" spans="1:7" x14ac:dyDescent="0.25">
      <c r="A23" s="4" t="s">
        <v>118</v>
      </c>
      <c r="B23" s="26">
        <f>MIN(D$13:D$17)</f>
        <v>14</v>
      </c>
      <c r="C23" s="26">
        <f>MEDIAN(D$13:D$17)</f>
        <v>17.25</v>
      </c>
      <c r="D23" s="26">
        <f>MAX(D$13:D$17)</f>
        <v>21</v>
      </c>
      <c r="E23" s="17">
        <f>B23*$B$8</f>
        <v>25410000</v>
      </c>
      <c r="F23" s="17">
        <f>C23*$B$8</f>
        <v>31308750</v>
      </c>
      <c r="G23" s="17">
        <f>D23*$B$8</f>
        <v>38115000</v>
      </c>
    </row>
    <row r="25" spans="1:2" x14ac:dyDescent="0.25">
      <c r="A25" s="7" t="s">
        <v>132</v>
      </c>
      <c r="B25" s="20">
        <f>MEDIAN(F21,F22,F23)</f>
        <v>27100000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20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6" customWidth="1"/>
  </cols>
  <sheetData>
    <row r="1" spans="1:1" x14ac:dyDescent="0.25">
      <c r="A1" s="1" t="s">
        <v>133</v>
      </c>
    </row>
    <row r="2" spans="1:1" x14ac:dyDescent="0.25">
      <c r="A2" s="2" t="s">
        <v>134</v>
      </c>
    </row>
    <row r="3" spans="1:1" x14ac:dyDescent="0.25">
      <c r="A3" s="3" t="s">
        <v>2</v>
      </c>
    </row>
    <row r="5" spans="1:3" x14ac:dyDescent="0.25">
      <c r="A5" s="5" t="s">
        <v>71</v>
      </c>
      <c r="B5" s="5"/>
      <c r="C5" s="5"/>
    </row>
    <row r="6" spans="1:2" x14ac:dyDescent="0.25">
      <c r="A6" s="4" t="s">
        <v>105</v>
      </c>
      <c r="B6" s="14">
        <f>Historicals!$F$22</f>
        <v>8200000</v>
      </c>
    </row>
    <row r="7" spans="1:2" x14ac:dyDescent="0.25">
      <c r="A7" s="4" t="s">
        <v>135</v>
      </c>
      <c r="B7" s="14">
        <f>Historicals!$F$21</f>
        <v>2200000</v>
      </c>
    </row>
    <row r="8" spans="1:2" x14ac:dyDescent="0.25">
      <c r="A8" s="4" t="s">
        <v>136</v>
      </c>
      <c r="B8" s="27">
        <v>0.042</v>
      </c>
    </row>
    <row r="9" spans="1:2" x14ac:dyDescent="0.25">
      <c r="A9" s="4" t="s">
        <v>137</v>
      </c>
      <c r="B9" s="28">
        <v>1.1</v>
      </c>
    </row>
    <row r="10" spans="1:2" x14ac:dyDescent="0.25">
      <c r="A10" s="4" t="s">
        <v>138</v>
      </c>
      <c r="B10" s="27">
        <v>0.055</v>
      </c>
    </row>
    <row r="11" spans="1:2" x14ac:dyDescent="0.25">
      <c r="A11" s="4" t="s">
        <v>139</v>
      </c>
      <c r="B11" s="27">
        <v>0.01</v>
      </c>
    </row>
    <row r="12" spans="1:2" x14ac:dyDescent="0.25">
      <c r="A12" s="4" t="s">
        <v>140</v>
      </c>
      <c r="B12" s="27">
        <v>0.064</v>
      </c>
    </row>
    <row r="13" spans="1:2" x14ac:dyDescent="0.25">
      <c r="A13" s="4" t="s">
        <v>78</v>
      </c>
      <c r="B13" s="15">
        <v>0.25</v>
      </c>
    </row>
    <row r="15" spans="1:3" x14ac:dyDescent="0.25">
      <c r="A15" s="5" t="s">
        <v>141</v>
      </c>
      <c r="B15" s="5"/>
      <c r="C15" s="5"/>
    </row>
    <row r="16" spans="1:2" x14ac:dyDescent="0.25">
      <c r="A16" s="4" t="s">
        <v>142</v>
      </c>
      <c r="B16" s="29">
        <f>$B$8+$B$9*$B$10+$B$11</f>
        <v>0.1125</v>
      </c>
    </row>
    <row r="17" spans="1:2" x14ac:dyDescent="0.25">
      <c r="A17" s="4" t="s">
        <v>143</v>
      </c>
      <c r="B17" s="29">
        <f>$B$12*(1-$B$13)</f>
        <v>0.048</v>
      </c>
    </row>
    <row r="18" spans="1:2" x14ac:dyDescent="0.25">
      <c r="A18" s="4" t="s">
        <v>144</v>
      </c>
      <c r="B18" s="29">
        <f>$B$6/($B$6+$B$7)</f>
        <v>0.7884615384615384</v>
      </c>
    </row>
    <row r="19" spans="1:2" x14ac:dyDescent="0.25">
      <c r="A19" s="4" t="s">
        <v>145</v>
      </c>
      <c r="B19" s="29">
        <f>$B$7/($B$6+$B$7)</f>
        <v>0.21153846153846154</v>
      </c>
    </row>
    <row r="20" spans="1:2" x14ac:dyDescent="0.25">
      <c r="A20" s="7" t="s">
        <v>14</v>
      </c>
      <c r="B20" s="30">
        <f>B18*B16+B19*B17</f>
        <v>0.09885576923076923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E49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6" customWidth="1"/>
    <col min="4" max="4" width="14" customWidth="1"/>
  </cols>
  <sheetData>
    <row r="1" spans="1:1" x14ac:dyDescent="0.25">
      <c r="A1" s="1" t="s">
        <v>146</v>
      </c>
    </row>
    <row r="2" spans="1:1" x14ac:dyDescent="0.25">
      <c r="A2" s="2" t="s">
        <v>147</v>
      </c>
    </row>
    <row r="3" spans="1:1" x14ac:dyDescent="0.25">
      <c r="A3" s="3" t="s">
        <v>2</v>
      </c>
    </row>
    <row r="5" spans="1:5" x14ac:dyDescent="0.25">
      <c r="A5" s="5" t="s">
        <v>148</v>
      </c>
      <c r="B5" s="5"/>
      <c r="C5" s="5"/>
      <c r="D5" s="5"/>
      <c r="E5" s="5"/>
    </row>
    <row r="6" spans="1:2" x14ac:dyDescent="0.25">
      <c r="A6" s="4" t="s">
        <v>149</v>
      </c>
      <c r="B6" s="17">
        <v>13100000</v>
      </c>
    </row>
    <row r="7" spans="1:2" x14ac:dyDescent="0.25">
      <c r="A7" s="4" t="s">
        <v>150</v>
      </c>
      <c r="B7" s="22">
        <v>0.124</v>
      </c>
    </row>
    <row r="8" spans="1:2" x14ac:dyDescent="0.25">
      <c r="A8" s="4" t="s">
        <v>151</v>
      </c>
      <c r="B8" s="22">
        <v>0.03</v>
      </c>
    </row>
    <row r="9" spans="1:2" x14ac:dyDescent="0.25">
      <c r="A9" s="4" t="s">
        <v>152</v>
      </c>
      <c r="B9" s="22">
        <v>0.22899999999999998</v>
      </c>
    </row>
    <row r="10" spans="1:2" x14ac:dyDescent="0.25">
      <c r="A10" s="4" t="s">
        <v>153</v>
      </c>
      <c r="B10" s="22">
        <v>0.03</v>
      </c>
    </row>
    <row r="11" spans="1:2" x14ac:dyDescent="0.25">
      <c r="A11" s="4" t="s">
        <v>14</v>
      </c>
      <c r="B11" s="22">
        <v>0.1</v>
      </c>
    </row>
    <row r="12" spans="1:2" x14ac:dyDescent="0.25">
      <c r="A12" s="4" t="s">
        <v>80</v>
      </c>
      <c r="B12" s="22">
        <v>0.025</v>
      </c>
    </row>
    <row r="13" spans="1:2" x14ac:dyDescent="0.25">
      <c r="A13" s="4" t="s">
        <v>81</v>
      </c>
      <c r="B13" s="17">
        <v>-100000</v>
      </c>
    </row>
    <row r="14" spans="1:2" x14ac:dyDescent="0.25">
      <c r="A14" s="4" t="s">
        <v>154</v>
      </c>
      <c r="B14" s="31">
        <v>2000</v>
      </c>
    </row>
    <row r="15" spans="1:1" x14ac:dyDescent="0.25">
      <c r="A15" s="3" t="s">
        <v>155</v>
      </c>
    </row>
    <row r="17" spans="1:5" x14ac:dyDescent="0.25">
      <c r="A17" s="5" t="s">
        <v>156</v>
      </c>
      <c r="B17" s="5"/>
      <c r="C17" s="5"/>
      <c r="D17" s="5"/>
      <c r="E17" s="5"/>
    </row>
    <row r="18" spans="1:2" x14ac:dyDescent="0.25">
      <c r="A18" s="7" t="s">
        <v>157</v>
      </c>
      <c r="B18" s="20">
        <v>20654738.514942896</v>
      </c>
    </row>
    <row r="19" spans="1:2" x14ac:dyDescent="0.25">
      <c r="A19" s="7" t="s">
        <v>158</v>
      </c>
      <c r="B19" s="20">
        <v>28867039.800762374</v>
      </c>
    </row>
    <row r="20" spans="1:2" x14ac:dyDescent="0.25">
      <c r="A20" s="7" t="s">
        <v>159</v>
      </c>
      <c r="B20" s="20">
        <v>38211664.48468375</v>
      </c>
    </row>
    <row r="21" spans="1:2" x14ac:dyDescent="0.25">
      <c r="A21" s="7" t="s">
        <v>160</v>
      </c>
      <c r="B21" s="20">
        <v>29148440.384893242</v>
      </c>
    </row>
    <row r="22" spans="1:2" x14ac:dyDescent="0.25">
      <c r="A22" s="7" t="s">
        <v>161</v>
      </c>
      <c r="B22" s="32">
        <v>0.4825</v>
      </c>
    </row>
    <row r="24" spans="1:5" x14ac:dyDescent="0.25">
      <c r="A24" s="5" t="s">
        <v>162</v>
      </c>
      <c r="B24" s="5"/>
      <c r="C24" s="5"/>
      <c r="D24" s="5"/>
      <c r="E24" s="5"/>
    </row>
    <row r="25" spans="1:4" x14ac:dyDescent="0.25">
      <c r="A25" s="6" t="s">
        <v>163</v>
      </c>
      <c r="B25" s="12" t="s">
        <v>164</v>
      </c>
      <c r="C25" s="12" t="s">
        <v>165</v>
      </c>
      <c r="D25" s="12" t="s">
        <v>154</v>
      </c>
    </row>
    <row r="26" spans="1:4" x14ac:dyDescent="0.25">
      <c r="A26" s="4" t="s">
        <v>166</v>
      </c>
      <c r="B26" s="17">
        <v>14920728.848097373</v>
      </c>
      <c r="C26" s="17">
        <v>16303742.159808805</v>
      </c>
      <c r="D26" s="31">
        <v>24</v>
      </c>
    </row>
    <row r="27" spans="1:4" x14ac:dyDescent="0.25">
      <c r="A27" s="4" t="s">
        <v>167</v>
      </c>
      <c r="B27" s="17">
        <v>16303742.159808805</v>
      </c>
      <c r="C27" s="17">
        <v>17686755.471520238</v>
      </c>
      <c r="D27" s="31">
        <v>31</v>
      </c>
    </row>
    <row r="28" spans="1:4" x14ac:dyDescent="0.25">
      <c r="A28" s="4" t="s">
        <v>168</v>
      </c>
      <c r="B28" s="17">
        <v>17686755.471520238</v>
      </c>
      <c r="C28" s="17">
        <v>19069768.783231672</v>
      </c>
      <c r="D28" s="31">
        <v>52</v>
      </c>
    </row>
    <row r="29" spans="1:4" x14ac:dyDescent="0.25">
      <c r="A29" s="4" t="s">
        <v>169</v>
      </c>
      <c r="B29" s="17">
        <v>19069768.783231672</v>
      </c>
      <c r="C29" s="17">
        <v>20452782.094943106</v>
      </c>
      <c r="D29" s="31">
        <v>58</v>
      </c>
    </row>
    <row r="30" spans="1:4" x14ac:dyDescent="0.25">
      <c r="A30" s="4" t="s">
        <v>170</v>
      </c>
      <c r="B30" s="17">
        <v>20452782.094943106</v>
      </c>
      <c r="C30" s="17">
        <v>21835795.406654537</v>
      </c>
      <c r="D30" s="31">
        <v>102</v>
      </c>
    </row>
    <row r="31" spans="1:4" x14ac:dyDescent="0.25">
      <c r="A31" s="4" t="s">
        <v>171</v>
      </c>
      <c r="B31" s="17">
        <v>21835795.406654537</v>
      </c>
      <c r="C31" s="17">
        <v>23218808.71836597</v>
      </c>
      <c r="D31" s="31">
        <v>99</v>
      </c>
    </row>
    <row r="32" spans="1:4" x14ac:dyDescent="0.25">
      <c r="A32" s="4" t="s">
        <v>172</v>
      </c>
      <c r="B32" s="17">
        <v>23218808.71836597</v>
      </c>
      <c r="C32" s="17">
        <v>24601822.030077405</v>
      </c>
      <c r="D32" s="31">
        <v>128</v>
      </c>
    </row>
    <row r="33" spans="1:4" x14ac:dyDescent="0.25">
      <c r="A33" s="4" t="s">
        <v>173</v>
      </c>
      <c r="B33" s="17">
        <v>24601822.030077405</v>
      </c>
      <c r="C33" s="17">
        <v>25984835.341788836</v>
      </c>
      <c r="D33" s="31">
        <v>148</v>
      </c>
    </row>
    <row r="34" spans="1:4" x14ac:dyDescent="0.25">
      <c r="A34" s="4" t="s">
        <v>174</v>
      </c>
      <c r="B34" s="17">
        <v>25984835.341788836</v>
      </c>
      <c r="C34" s="17">
        <v>27367848.653500266</v>
      </c>
      <c r="D34" s="31">
        <v>154</v>
      </c>
    </row>
    <row r="35" spans="1:4" x14ac:dyDescent="0.25">
      <c r="A35" s="4" t="s">
        <v>175</v>
      </c>
      <c r="B35" s="17">
        <v>27367848.653500266</v>
      </c>
      <c r="C35" s="17">
        <v>28750861.9652117</v>
      </c>
      <c r="D35" s="31">
        <v>174</v>
      </c>
    </row>
    <row r="36" spans="1:4" x14ac:dyDescent="0.25">
      <c r="A36" s="4" t="s">
        <v>176</v>
      </c>
      <c r="B36" s="17">
        <v>28750861.9652117</v>
      </c>
      <c r="C36" s="17">
        <v>30133875.276923135</v>
      </c>
      <c r="D36" s="31">
        <v>157</v>
      </c>
    </row>
    <row r="37" spans="1:4" x14ac:dyDescent="0.25">
      <c r="A37" s="4" t="s">
        <v>177</v>
      </c>
      <c r="B37" s="17">
        <v>30133875.276923135</v>
      </c>
      <c r="C37" s="17">
        <v>31516888.588634565</v>
      </c>
      <c r="D37" s="31">
        <v>148</v>
      </c>
    </row>
    <row r="38" spans="1:4" x14ac:dyDescent="0.25">
      <c r="A38" s="4" t="s">
        <v>178</v>
      </c>
      <c r="B38" s="17">
        <v>31516888.588634565</v>
      </c>
      <c r="C38" s="17">
        <v>32899901.900346</v>
      </c>
      <c r="D38" s="31">
        <v>168</v>
      </c>
    </row>
    <row r="39" spans="1:4" x14ac:dyDescent="0.25">
      <c r="A39" s="4" t="s">
        <v>179</v>
      </c>
      <c r="B39" s="17">
        <v>32899901.900346</v>
      </c>
      <c r="C39" s="17">
        <v>34282915.212057434</v>
      </c>
      <c r="D39" s="31">
        <v>105</v>
      </c>
    </row>
    <row r="40" spans="1:4" x14ac:dyDescent="0.25">
      <c r="A40" s="4" t="s">
        <v>180</v>
      </c>
      <c r="B40" s="17">
        <v>34282915.212057434</v>
      </c>
      <c r="C40" s="17">
        <v>35665928.523768865</v>
      </c>
      <c r="D40" s="31">
        <v>89</v>
      </c>
    </row>
    <row r="41" spans="1:4" x14ac:dyDescent="0.25">
      <c r="A41" s="4" t="s">
        <v>181</v>
      </c>
      <c r="B41" s="17">
        <v>35665928.523768865</v>
      </c>
      <c r="C41" s="17">
        <v>37048941.8354803</v>
      </c>
      <c r="D41" s="31">
        <v>86</v>
      </c>
    </row>
    <row r="42" spans="1:4" x14ac:dyDescent="0.25">
      <c r="A42" s="4" t="s">
        <v>182</v>
      </c>
      <c r="B42" s="17">
        <v>37048941.8354803</v>
      </c>
      <c r="C42" s="17">
        <v>38431955.14719173</v>
      </c>
      <c r="D42" s="31">
        <v>67</v>
      </c>
    </row>
    <row r="43" spans="1:4" x14ac:dyDescent="0.25">
      <c r="A43" s="4" t="s">
        <v>183</v>
      </c>
      <c r="B43" s="17">
        <v>38431955.14719173</v>
      </c>
      <c r="C43" s="17">
        <v>39814968.45890316</v>
      </c>
      <c r="D43" s="31">
        <v>54</v>
      </c>
    </row>
    <row r="44" spans="1:4" x14ac:dyDescent="0.25">
      <c r="A44" s="4" t="s">
        <v>184</v>
      </c>
      <c r="B44" s="17">
        <v>39814968.45890316</v>
      </c>
      <c r="C44" s="17">
        <v>41197981.770614594</v>
      </c>
      <c r="D44" s="31">
        <v>40</v>
      </c>
    </row>
    <row r="45" spans="1:4" x14ac:dyDescent="0.25">
      <c r="A45" s="4" t="s">
        <v>185</v>
      </c>
      <c r="B45" s="17">
        <v>41197981.770614594</v>
      </c>
      <c r="C45" s="17">
        <v>42580995.082326025</v>
      </c>
      <c r="D45" s="31">
        <v>28</v>
      </c>
    </row>
    <row r="46" spans="1:4" x14ac:dyDescent="0.25">
      <c r="A46" s="4" t="s">
        <v>186</v>
      </c>
      <c r="B46" s="17">
        <v>42580995.082326025</v>
      </c>
      <c r="C46" s="17">
        <v>43964008.39403746</v>
      </c>
      <c r="D46" s="31">
        <v>17</v>
      </c>
    </row>
    <row r="47" spans="1:4" x14ac:dyDescent="0.25">
      <c r="A47" s="4" t="s">
        <v>187</v>
      </c>
      <c r="B47" s="17">
        <v>43964008.39403746</v>
      </c>
      <c r="C47" s="17">
        <v>45347021.7057489</v>
      </c>
      <c r="D47" s="31">
        <v>15</v>
      </c>
    </row>
    <row r="48" spans="1:4" x14ac:dyDescent="0.25">
      <c r="A48" s="4" t="s">
        <v>188</v>
      </c>
      <c r="B48" s="17">
        <v>45347021.7057489</v>
      </c>
      <c r="C48" s="17">
        <v>46730035.01746033</v>
      </c>
      <c r="D48" s="31">
        <v>6</v>
      </c>
    </row>
    <row r="49" spans="1:4" x14ac:dyDescent="0.25">
      <c r="A49" s="4" t="s">
        <v>189</v>
      </c>
      <c r="B49" s="17">
        <v>46730035.01746033</v>
      </c>
      <c r="C49" s="17">
        <v>48113048.32917176</v>
      </c>
      <c r="D49" s="31">
        <v>10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39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5" customWidth="1"/>
  </cols>
  <sheetData>
    <row r="1" spans="1:1" x14ac:dyDescent="0.25">
      <c r="A1" s="1" t="s">
        <v>190</v>
      </c>
    </row>
    <row r="2" spans="1:1" x14ac:dyDescent="0.25">
      <c r="A2" s="2" t="s">
        <v>191</v>
      </c>
    </row>
    <row r="3" spans="1:1" x14ac:dyDescent="0.25">
      <c r="A3" s="3" t="s">
        <v>2</v>
      </c>
    </row>
    <row r="5" spans="1:7" x14ac:dyDescent="0.25">
      <c r="A5" s="5" t="s">
        <v>71</v>
      </c>
      <c r="B5" s="5"/>
      <c r="C5" s="5"/>
      <c r="D5" s="5"/>
      <c r="E5" s="5"/>
      <c r="F5" s="5"/>
      <c r="G5" s="5"/>
    </row>
    <row r="6" spans="1:2" x14ac:dyDescent="0.25">
      <c r="A6" s="4" t="s">
        <v>192</v>
      </c>
      <c r="B6" s="14">
        <f>Historicals!$F$11</f>
        <v>3000000</v>
      </c>
    </row>
    <row r="7" spans="1:2" x14ac:dyDescent="0.25">
      <c r="A7" s="4" t="s">
        <v>193</v>
      </c>
      <c r="B7" s="25">
        <v>8</v>
      </c>
    </row>
    <row r="8" spans="1:2" x14ac:dyDescent="0.25">
      <c r="A8" s="4" t="s">
        <v>194</v>
      </c>
      <c r="B8" s="25">
        <v>4.5</v>
      </c>
    </row>
    <row r="9" spans="1:2" x14ac:dyDescent="0.25">
      <c r="A9" s="4" t="s">
        <v>195</v>
      </c>
      <c r="B9" s="15">
        <v>0.08</v>
      </c>
    </row>
    <row r="10" spans="1:2" x14ac:dyDescent="0.25">
      <c r="A10" s="4" t="s">
        <v>196</v>
      </c>
      <c r="B10" s="15">
        <v>0.124</v>
      </c>
    </row>
    <row r="11" spans="1:2" x14ac:dyDescent="0.25">
      <c r="A11" s="4" t="s">
        <v>197</v>
      </c>
      <c r="B11" s="25">
        <v>8</v>
      </c>
    </row>
    <row r="12" spans="1:2" x14ac:dyDescent="0.25">
      <c r="A12" s="4" t="s">
        <v>78</v>
      </c>
      <c r="B12" s="15">
        <v>0.25</v>
      </c>
    </row>
    <row r="13" spans="1:2" x14ac:dyDescent="0.25">
      <c r="A13" s="4" t="s">
        <v>198</v>
      </c>
      <c r="B13" s="15">
        <v>0.15</v>
      </c>
    </row>
    <row r="14" spans="1:2" x14ac:dyDescent="0.25">
      <c r="A14" s="4" t="s">
        <v>199</v>
      </c>
      <c r="B14" s="15">
        <v>1</v>
      </c>
    </row>
    <row r="15" spans="1:2" x14ac:dyDescent="0.25">
      <c r="A15" s="4" t="s">
        <v>200</v>
      </c>
      <c r="B15" s="15">
        <v>0.02</v>
      </c>
    </row>
    <row r="17" spans="1:7" x14ac:dyDescent="0.25">
      <c r="A17" s="5" t="s">
        <v>201</v>
      </c>
      <c r="B17" s="5"/>
      <c r="C17" s="5"/>
      <c r="D17" s="5"/>
      <c r="E17" s="5"/>
      <c r="F17" s="5"/>
      <c r="G17" s="5"/>
    </row>
    <row r="18" spans="1:2" x14ac:dyDescent="0.25">
      <c r="A18" s="4" t="s">
        <v>202</v>
      </c>
      <c r="B18" s="17">
        <f>$B$6*$B$7</f>
        <v>24000000</v>
      </c>
    </row>
    <row r="19" spans="1:2" x14ac:dyDescent="0.25">
      <c r="A19" s="4" t="s">
        <v>203</v>
      </c>
      <c r="B19" s="17">
        <f>B18*$B$15</f>
        <v>480000</v>
      </c>
    </row>
    <row r="20" spans="1:2" x14ac:dyDescent="0.25">
      <c r="A20" s="7" t="s">
        <v>204</v>
      </c>
      <c r="B20" s="18">
        <f>B18+B19</f>
        <v>24480000</v>
      </c>
    </row>
    <row r="21" spans="1:2" x14ac:dyDescent="0.25">
      <c r="A21" s="4" t="s">
        <v>205</v>
      </c>
      <c r="B21" s="17">
        <f>$B$6*$B$8</f>
        <v>13500000</v>
      </c>
    </row>
    <row r="22" spans="1:2" x14ac:dyDescent="0.25">
      <c r="A22" s="7" t="s">
        <v>206</v>
      </c>
      <c r="B22" s="20">
        <f>B20-B21</f>
        <v>10980000</v>
      </c>
    </row>
    <row r="24" spans="1:7" x14ac:dyDescent="0.25">
      <c r="A24" s="5" t="s">
        <v>207</v>
      </c>
      <c r="B24" s="5"/>
      <c r="C24" s="5"/>
      <c r="D24" s="5"/>
      <c r="E24" s="5"/>
      <c r="F24" s="5"/>
      <c r="G24" s="5"/>
    </row>
    <row r="25" spans="1:7" x14ac:dyDescent="0.25">
      <c r="A25" s="6" t="s">
        <v>208</v>
      </c>
      <c r="B25" s="12" t="s">
        <v>209</v>
      </c>
      <c r="C25" s="12" t="s">
        <v>86</v>
      </c>
      <c r="D25" s="12" t="s">
        <v>87</v>
      </c>
      <c r="E25" s="12" t="s">
        <v>88</v>
      </c>
      <c r="F25" s="12" t="s">
        <v>89</v>
      </c>
      <c r="G25" s="12" t="s">
        <v>90</v>
      </c>
    </row>
    <row r="26" spans="1:7" x14ac:dyDescent="0.25">
      <c r="A26" s="4" t="s">
        <v>55</v>
      </c>
      <c r="B26" s="17">
        <f>$B$6</f>
        <v>3000000</v>
      </c>
      <c r="C26" s="17">
        <f>B26*(1+$B$10)</f>
        <v>3372000.0000000005</v>
      </c>
      <c r="D26" s="17">
        <f>C26*(1+$B$10)</f>
        <v>3790128.000000001</v>
      </c>
      <c r="E26" s="17">
        <f>D26*(1+$B$10)</f>
        <v>4260103.872000001</v>
      </c>
      <c r="F26" s="17">
        <f>E26*(1+$B$10)</f>
        <v>4788356.752128002</v>
      </c>
      <c r="G26" s="17">
        <f>F26*(1+$B$10)</f>
        <v>5382112.989391875</v>
      </c>
    </row>
    <row r="27" spans="1:7" x14ac:dyDescent="0.25">
      <c r="A27" s="4" t="s">
        <v>210</v>
      </c>
      <c r="C27" s="17">
        <f>B32*$B$9</f>
        <v>1080000</v>
      </c>
      <c r="D27" s="17">
        <f>C32*$B$9</f>
        <v>972828</v>
      </c>
      <c r="E27" s="17">
        <f>D32*$B$9</f>
        <v>837901.1519999999</v>
      </c>
      <c r="F27" s="17">
        <f>E32*$B$9</f>
        <v>670909.9236479998</v>
      </c>
      <c r="G27" s="17">
        <f>F32*$B$9</f>
        <v>466958.32470835163</v>
      </c>
    </row>
    <row r="28" spans="1:7" x14ac:dyDescent="0.25">
      <c r="A28" s="4" t="s">
        <v>94</v>
      </c>
      <c r="C28" s="17">
        <f>C26*$B$13</f>
        <v>505800.00000000006</v>
      </c>
      <c r="D28" s="17">
        <f>D26*$B$13</f>
        <v>568519.2000000001</v>
      </c>
      <c r="E28" s="17">
        <f>E26*$B$13</f>
        <v>639015.5808000002</v>
      </c>
      <c r="F28" s="17">
        <f>F26*$B$13</f>
        <v>718253.5128192003</v>
      </c>
      <c r="G28" s="17">
        <f>G26*$B$13</f>
        <v>807316.9484087813</v>
      </c>
    </row>
    <row r="29" spans="1:7" x14ac:dyDescent="0.25">
      <c r="A29" s="4" t="s">
        <v>211</v>
      </c>
      <c r="C29" s="17">
        <f>MAX(0,(C26-C27-C28)*$B$12)</f>
        <v>446550.0000000001</v>
      </c>
      <c r="D29" s="17">
        <f>MAX(0,(D26-D27-D28)*$B$12)</f>
        <v>562195.2000000002</v>
      </c>
      <c r="E29" s="17">
        <f>MAX(0,(E26-E27-E28)*$B$12)</f>
        <v>695796.7848000004</v>
      </c>
      <c r="F29" s="17">
        <f>MAX(0,(F26-F27-F28)*$B$12)</f>
        <v>849798.3289152005</v>
      </c>
      <c r="G29" s="17">
        <f>MAX(0,(G26-G27-G28)*$B$12)</f>
        <v>1026959.4290686855</v>
      </c>
    </row>
    <row r="30" spans="1:7" x14ac:dyDescent="0.25">
      <c r="A30" s="7" t="s">
        <v>212</v>
      </c>
      <c r="C30" s="18">
        <f>C26-C27-C28-C29</f>
        <v>1339650.0000000005</v>
      </c>
      <c r="D30" s="18">
        <f>D26-D27-D28-D29</f>
        <v>1686585.6000000006</v>
      </c>
      <c r="E30" s="18">
        <f>E26-E27-E28-E29</f>
        <v>2087390.354400001</v>
      </c>
      <c r="F30" s="18">
        <f>F26-F27-F28-F29</f>
        <v>2549394.9867456015</v>
      </c>
      <c r="G30" s="18">
        <f>G26-G27-G28-G29</f>
        <v>3080878.2872060565</v>
      </c>
    </row>
    <row r="31" spans="1:7" x14ac:dyDescent="0.25">
      <c r="A31" s="4" t="s">
        <v>213</v>
      </c>
      <c r="C31" s="17">
        <f>MIN(B32,MAX(0,C30*$B$14))</f>
        <v>1339650.0000000005</v>
      </c>
      <c r="D31" s="17">
        <f>MIN(C32,MAX(0,D30*$B$14))</f>
        <v>1686585.6000000006</v>
      </c>
      <c r="E31" s="17">
        <f>MIN(D32,MAX(0,E30*$B$14))</f>
        <v>2087390.354400001</v>
      </c>
      <c r="F31" s="17">
        <f>MIN(E32,MAX(0,F30*$B$14))</f>
        <v>2549394.9867456015</v>
      </c>
      <c r="G31" s="17">
        <f>MIN(F32,MAX(0,G30*$B$14))</f>
        <v>3080878.2872060565</v>
      </c>
    </row>
    <row r="32" spans="1:7" x14ac:dyDescent="0.25">
      <c r="A32" s="4" t="s">
        <v>214</v>
      </c>
      <c r="B32" s="17">
        <f>B21</f>
        <v>13500000</v>
      </c>
      <c r="C32" s="17">
        <f>B32-C31</f>
        <v>12160350</v>
      </c>
      <c r="D32" s="17">
        <f>C32-D31</f>
        <v>10473764.399999999</v>
      </c>
      <c r="E32" s="17">
        <f>D32-E31</f>
        <v>8386374.045599997</v>
      </c>
      <c r="F32" s="17">
        <f>E32-F31</f>
        <v>5836979.0588543955</v>
      </c>
      <c r="G32" s="17">
        <f>F32-G31</f>
        <v>2756100.771648339</v>
      </c>
    </row>
    <row r="33" spans="1:7" x14ac:dyDescent="0.25">
      <c r="A33" s="4" t="s">
        <v>215</v>
      </c>
      <c r="B33" s="17">
        <v>0</v>
      </c>
      <c r="C33" s="17">
        <f>B33+C30-C31</f>
        <v>0</v>
      </c>
      <c r="D33" s="17">
        <f>C33+D30-D31</f>
        <v>0</v>
      </c>
      <c r="E33" s="17">
        <f>D33+E30-E31</f>
        <v>0</v>
      </c>
      <c r="F33" s="17">
        <f>E33+F30-F31</f>
        <v>0</v>
      </c>
      <c r="G33" s="17">
        <f>F33+G30-G31</f>
        <v>0</v>
      </c>
    </row>
    <row r="34" spans="1:7" x14ac:dyDescent="0.25">
      <c r="A34" s="7" t="s">
        <v>216</v>
      </c>
      <c r="B34" s="17">
        <f>B22</f>
        <v>10980000</v>
      </c>
      <c r="C34" s="17">
        <f>C26*$B$11-C32+C33</f>
        <v>14815650.000000004</v>
      </c>
      <c r="D34" s="17">
        <f>D26*$B$11-D32+D33</f>
        <v>19847259.60000001</v>
      </c>
      <c r="E34" s="17">
        <f>E26*$B$11-E32+E33</f>
        <v>25694456.930400014</v>
      </c>
      <c r="F34" s="17">
        <f>F26*$B$11-F32+F33</f>
        <v>32469874.958169624</v>
      </c>
      <c r="G34" s="17">
        <f>G26*$B$11-G32+G33</f>
        <v>40300803.14348666</v>
      </c>
    </row>
    <row r="36" spans="1:7" x14ac:dyDescent="0.25">
      <c r="A36" s="5" t="s">
        <v>217</v>
      </c>
      <c r="B36" s="5"/>
      <c r="C36" s="5"/>
      <c r="D36" s="5"/>
      <c r="E36" s="5"/>
      <c r="F36" s="5"/>
      <c r="G36" s="5"/>
    </row>
    <row r="37" spans="1:2" x14ac:dyDescent="0.25">
      <c r="A37" s="7" t="s">
        <v>218</v>
      </c>
      <c r="B37" s="20">
        <f>G34</f>
        <v>40300803.14348666</v>
      </c>
    </row>
    <row r="38" spans="1:2" x14ac:dyDescent="0.25">
      <c r="A38" s="7" t="s">
        <v>219</v>
      </c>
      <c r="B38" s="33">
        <f>B37/B22</f>
        <v>3.670382799953248</v>
      </c>
    </row>
    <row r="39" spans="1:2" x14ac:dyDescent="0.25">
      <c r="A39" s="7" t="s">
        <v>220</v>
      </c>
      <c r="B39" s="32">
        <f>MAX(0,B38)^(1/5)-1</f>
        <v>0.2970068572882325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1" width="40" customWidth="1"/>
    <col min="2" max="6" width="16" customWidth="1"/>
  </cols>
  <sheetData>
    <row r="1" spans="1:1" x14ac:dyDescent="0.25">
      <c r="A1" s="1" t="s">
        <v>221</v>
      </c>
    </row>
    <row r="2" spans="1:1" x14ac:dyDescent="0.25">
      <c r="A2" s="2" t="s">
        <v>222</v>
      </c>
    </row>
    <row r="3" spans="1:1" x14ac:dyDescent="0.25">
      <c r="A3" s="3" t="s">
        <v>2</v>
      </c>
    </row>
    <row r="5" spans="1:7" x14ac:dyDescent="0.25">
      <c r="A5" s="5" t="s">
        <v>71</v>
      </c>
      <c r="B5" s="5"/>
      <c r="C5" s="5"/>
      <c r="D5" s="5"/>
      <c r="E5" s="5"/>
      <c r="F5" s="5"/>
      <c r="G5" s="5"/>
    </row>
    <row r="6" spans="1:2" x14ac:dyDescent="0.25">
      <c r="A6" s="4" t="s">
        <v>223</v>
      </c>
      <c r="B6" s="14">
        <f>Historicals!$F$21</f>
        <v>2200000</v>
      </c>
    </row>
    <row r="7" spans="1:2" x14ac:dyDescent="0.25">
      <c r="A7" s="4" t="s">
        <v>224</v>
      </c>
      <c r="B7" s="27">
        <v>0.064</v>
      </c>
    </row>
    <row r="8" spans="1:2" x14ac:dyDescent="0.25">
      <c r="A8" s="4" t="s">
        <v>225</v>
      </c>
      <c r="B8" s="16">
        <v>7</v>
      </c>
    </row>
    <row r="9" spans="1:2" x14ac:dyDescent="0.25">
      <c r="A9" s="4" t="s">
        <v>226</v>
      </c>
      <c r="B9" s="16">
        <v>12</v>
      </c>
    </row>
    <row r="11" spans="1:7" x14ac:dyDescent="0.25">
      <c r="A11" s="5" t="s">
        <v>227</v>
      </c>
      <c r="B11" s="5"/>
      <c r="C11" s="5"/>
      <c r="D11" s="5"/>
      <c r="E11" s="5"/>
      <c r="F11" s="5"/>
      <c r="G11" s="5"/>
    </row>
    <row r="12" spans="1:2" x14ac:dyDescent="0.25">
      <c r="A12" s="4" t="s">
        <v>228</v>
      </c>
      <c r="B12" s="34">
        <f>$B$7/$B$9</f>
        <v>0.005333333333333333</v>
      </c>
    </row>
    <row r="13" spans="1:2" x14ac:dyDescent="0.25">
      <c r="A13" s="4" t="s">
        <v>229</v>
      </c>
      <c r="B13" s="31">
        <f>$B$8*$B$9</f>
        <v>84</v>
      </c>
    </row>
    <row r="14" spans="1:2" x14ac:dyDescent="0.25">
      <c r="A14" s="7" t="s">
        <v>230</v>
      </c>
      <c r="B14" s="21">
        <f>PMT($B$12,$B$13,-$B$6)</f>
        <v>32562.35591072205</v>
      </c>
    </row>
    <row r="15" spans="1:2" x14ac:dyDescent="0.25">
      <c r="A15" s="4" t="s">
        <v>231</v>
      </c>
      <c r="B15" s="17">
        <f>$B$14*$B$13</f>
        <v>2735237.896500652</v>
      </c>
    </row>
    <row r="16" spans="1:2" x14ac:dyDescent="0.25">
      <c r="A16" s="7" t="s">
        <v>232</v>
      </c>
      <c r="B16" s="20">
        <f>B15-$B$6</f>
        <v>535237.8965006522</v>
      </c>
    </row>
    <row r="18" spans="1:7" x14ac:dyDescent="0.25">
      <c r="A18" s="5" t="s">
        <v>233</v>
      </c>
      <c r="B18" s="5"/>
      <c r="C18" s="5"/>
      <c r="D18" s="5"/>
      <c r="E18" s="5"/>
      <c r="F18" s="5"/>
      <c r="G18" s="5"/>
    </row>
    <row r="19" spans="1:6" x14ac:dyDescent="0.25">
      <c r="A19" s="6" t="s">
        <v>234</v>
      </c>
      <c r="B19" s="12" t="s">
        <v>235</v>
      </c>
      <c r="C19" s="12" t="s">
        <v>236</v>
      </c>
      <c r="D19" s="12" t="s">
        <v>210</v>
      </c>
      <c r="E19" s="12" t="s">
        <v>237</v>
      </c>
      <c r="F19" s="12" t="s">
        <v>238</v>
      </c>
    </row>
    <row r="20" spans="1:6" x14ac:dyDescent="0.25">
      <c r="A20" s="35">
        <v>1</v>
      </c>
      <c r="B20" s="17">
        <f>$B$6</f>
        <v>2200000</v>
      </c>
      <c r="C20" s="17">
        <f>$B$14*$B$9</f>
        <v>390748.2709286646</v>
      </c>
      <c r="D20" s="17">
        <f>C20-E20</f>
        <v>133336.26310680807</v>
      </c>
      <c r="E20" s="17">
        <f>B20-F20</f>
        <v>257412.00782185653</v>
      </c>
      <c r="F20" s="17">
        <f>MAX(0,$B$6*(1+$B$12)^(1*$B$9)-$B$14*((1+$B$12)^(1*$B$9)-1)/$B$12)</f>
        <v>1942587.9921781435</v>
      </c>
    </row>
    <row r="21" spans="1:6" x14ac:dyDescent="0.25">
      <c r="A21" s="35">
        <v>2</v>
      </c>
      <c r="B21" s="17">
        <f>F20</f>
        <v>1942587.9921781435</v>
      </c>
      <c r="C21" s="17">
        <f>$B$14*$B$9</f>
        <v>390748.2709286646</v>
      </c>
      <c r="D21" s="17">
        <f>C21-E21</f>
        <v>116369.9514072719</v>
      </c>
      <c r="E21" s="17">
        <f>B21-F21</f>
        <v>274378.3195213927</v>
      </c>
      <c r="F21" s="17">
        <f>MAX(0,$B$6*(1+$B$12)^(2*$B$9)-$B$14*((1+$B$12)^(2*$B$9)-1)/$B$12)</f>
        <v>1668209.6726567508</v>
      </c>
    </row>
    <row r="22" spans="1:6" x14ac:dyDescent="0.25">
      <c r="A22" s="35">
        <v>3</v>
      </c>
      <c r="B22" s="17">
        <f>F21</f>
        <v>1668209.6726567508</v>
      </c>
      <c r="C22" s="17">
        <f>$B$14*$B$9</f>
        <v>390748.2709286646</v>
      </c>
      <c r="D22" s="17">
        <f>C22-E22</f>
        <v>98285.371235637</v>
      </c>
      <c r="E22" s="17">
        <f>B22-F22</f>
        <v>292462.8996930276</v>
      </c>
      <c r="F22" s="17">
        <f>MAX(0,$B$6*(1+$B$12)^(3*$B$9)-$B$14*((1+$B$12)^(3*$B$9)-1)/$B$12)</f>
        <v>1375746.7729637232</v>
      </c>
    </row>
    <row r="23" spans="1:6" x14ac:dyDescent="0.25">
      <c r="A23" s="35">
        <v>4</v>
      </c>
      <c r="B23" s="17">
        <f>F22</f>
        <v>1375746.7729637232</v>
      </c>
      <c r="C23" s="17">
        <f>$B$14*$B$9</f>
        <v>390748.2709286646</v>
      </c>
      <c r="D23" s="17">
        <f>C23-E23</f>
        <v>79008.8162733044</v>
      </c>
      <c r="E23" s="17">
        <f>B23-F23</f>
        <v>311739.4546553602</v>
      </c>
      <c r="F23" s="17">
        <f>MAX(0,$B$6*(1+$B$12)^(4*$B$9)-$B$14*((1+$B$12)^(4*$B$9)-1)/$B$12)</f>
        <v>1064007.318308363</v>
      </c>
    </row>
    <row r="24" spans="1:6" x14ac:dyDescent="0.25">
      <c r="A24" s="35">
        <v>5</v>
      </c>
      <c r="B24" s="17">
        <f>F23</f>
        <v>1064007.318308363</v>
      </c>
      <c r="C24" s="17">
        <f>$B$14*$B$9</f>
        <v>390748.2709286646</v>
      </c>
      <c r="D24" s="17">
        <f>C24-E24</f>
        <v>58461.72213623929</v>
      </c>
      <c r="E24" s="17">
        <f>B24-F24</f>
        <v>332286.5487924253</v>
      </c>
      <c r="F24" s="17">
        <f>MAX(0,$B$6*(1+$B$12)^(5*$B$9)-$B$14*((1+$B$12)^(5*$B$9)-1)/$B$12)</f>
        <v>731720.7695159377</v>
      </c>
    </row>
    <row r="25" spans="1:6" x14ac:dyDescent="0.25">
      <c r="A25" s="35">
        <v>6</v>
      </c>
      <c r="B25" s="17">
        <f>F24</f>
        <v>731720.7695159377</v>
      </c>
      <c r="C25" s="17">
        <f>$B$14*$B$9</f>
        <v>390748.2709286646</v>
      </c>
      <c r="D25" s="17">
        <f>C25-E25</f>
        <v>36560.34617448645</v>
      </c>
      <c r="E25" s="17">
        <f>B25-F25</f>
        <v>354187.92475417815</v>
      </c>
      <c r="F25" s="17">
        <f>MAX(0,$B$6*(1+$B$12)^(6*$B$9)-$B$14*((1+$B$12)^(6*$B$9)-1)/$B$12)</f>
        <v>377532.8447617595</v>
      </c>
    </row>
    <row r="26" spans="1:6" x14ac:dyDescent="0.25">
      <c r="A26" s="35">
        <v>7</v>
      </c>
      <c r="B26" s="17">
        <f>F25</f>
        <v>377532.8447617595</v>
      </c>
      <c r="C26" s="17">
        <f>$B$14*$B$9</f>
        <v>390748.2709286646</v>
      </c>
      <c r="D26" s="17">
        <f>C26-E26</f>
        <v>13215.426166905556</v>
      </c>
      <c r="E26" s="17">
        <f>B26-F26</f>
        <v>377532.84476175904</v>
      </c>
      <c r="F26" s="17">
        <f>MAX(0,$B$6*(1+$B$12)^(7*$B$9)-$B$14*((1+$B$12)^(7*$B$9)-1)/$B$12)</f>
        <v>4.656612873077393e-10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4" customWidth="1"/>
  </cols>
  <sheetData>
    <row r="1" spans="1:1" x14ac:dyDescent="0.25">
      <c r="A1" s="1" t="s">
        <v>239</v>
      </c>
    </row>
    <row r="2" spans="1:1" x14ac:dyDescent="0.25">
      <c r="A2" s="2" t="s">
        <v>240</v>
      </c>
    </row>
    <row r="3" spans="1:1" x14ac:dyDescent="0.25">
      <c r="A3" s="3" t="s">
        <v>2</v>
      </c>
    </row>
    <row r="5" spans="1:7" x14ac:dyDescent="0.25">
      <c r="A5" s="5" t="s">
        <v>71</v>
      </c>
      <c r="B5" s="5"/>
      <c r="C5" s="5"/>
      <c r="D5" s="5"/>
      <c r="E5" s="5"/>
      <c r="F5" s="5"/>
      <c r="G5" s="5"/>
    </row>
    <row r="6" spans="1:2" x14ac:dyDescent="0.25">
      <c r="A6" s="4" t="s">
        <v>241</v>
      </c>
      <c r="B6" s="13">
        <v>6000000</v>
      </c>
    </row>
    <row r="7" spans="1:2" x14ac:dyDescent="0.25">
      <c r="A7" s="4" t="s">
        <v>242</v>
      </c>
      <c r="B7" s="15">
        <v>0.1</v>
      </c>
    </row>
    <row r="8" spans="1:2" x14ac:dyDescent="0.25">
      <c r="A8" s="4" t="s">
        <v>243</v>
      </c>
      <c r="B8" s="15">
        <v>0.08</v>
      </c>
    </row>
    <row r="10" spans="1:7" x14ac:dyDescent="0.25">
      <c r="A10" s="5" t="s">
        <v>244</v>
      </c>
      <c r="B10" s="5"/>
      <c r="C10" s="5"/>
      <c r="D10" s="5"/>
      <c r="E10" s="5"/>
      <c r="F10" s="5"/>
      <c r="G10" s="5"/>
    </row>
    <row r="11" spans="1:7" x14ac:dyDescent="0.25">
      <c r="A11" s="6" t="s">
        <v>208</v>
      </c>
      <c r="B11" s="12" t="s">
        <v>245</v>
      </c>
      <c r="C11" s="12" t="s">
        <v>246</v>
      </c>
      <c r="D11" s="12" t="s">
        <v>247</v>
      </c>
      <c r="E11" s="12" t="s">
        <v>248</v>
      </c>
      <c r="F11" s="12" t="s">
        <v>249</v>
      </c>
      <c r="G11" s="12" t="s">
        <v>250</v>
      </c>
    </row>
    <row r="12" spans="1:7" x14ac:dyDescent="0.25">
      <c r="A12" s="4" t="s">
        <v>251</v>
      </c>
      <c r="B12" s="17">
        <f>-$B$6</f>
        <v>-6000000</v>
      </c>
      <c r="C12" s="13">
        <v>1575000</v>
      </c>
      <c r="D12" s="13">
        <v>1653750</v>
      </c>
      <c r="E12" s="13">
        <v>1736438</v>
      </c>
      <c r="F12" s="13">
        <v>1823259</v>
      </c>
      <c r="G12" s="13">
        <v>1914422</v>
      </c>
    </row>
    <row r="13" spans="1:7" x14ac:dyDescent="0.25">
      <c r="A13" s="4" t="s">
        <v>97</v>
      </c>
      <c r="B13" s="19">
        <f>1/(1+$B$7)^0</f>
        <v>1</v>
      </c>
      <c r="C13" s="19">
        <f>1/(1+$B$7)^1</f>
        <v>0.9090909090909091</v>
      </c>
      <c r="D13" s="19">
        <f>1/(1+$B$7)^2</f>
        <v>0.8264462809917354</v>
      </c>
      <c r="E13" s="19">
        <f>1/(1+$B$7)^3</f>
        <v>0.7513148009015775</v>
      </c>
      <c r="F13" s="19">
        <f>1/(1+$B$7)^4</f>
        <v>0.6830134553650705</v>
      </c>
      <c r="G13" s="19">
        <f>1/(1+$B$7)^5</f>
        <v>0.6209213230591549</v>
      </c>
    </row>
    <row r="14" spans="1:7" x14ac:dyDescent="0.25">
      <c r="A14" s="4" t="s">
        <v>252</v>
      </c>
      <c r="B14" s="17">
        <f>B12*B13</f>
        <v>-6000000</v>
      </c>
      <c r="C14" s="17">
        <f>C12*C13</f>
        <v>1431818.1818181819</v>
      </c>
      <c r="D14" s="17">
        <f>D12*D13</f>
        <v>1366735.5371900825</v>
      </c>
      <c r="E14" s="17">
        <f>E12*E13</f>
        <v>1304611.5702479335</v>
      </c>
      <c r="F14" s="17">
        <f>F12*F13</f>
        <v>1245310.4296154631</v>
      </c>
      <c r="G14" s="17">
        <f>G12*G13</f>
        <v>1188705.4411335534</v>
      </c>
    </row>
    <row r="15" spans="1:7" x14ac:dyDescent="0.25">
      <c r="A15" s="4" t="s">
        <v>253</v>
      </c>
      <c r="B15" s="17">
        <f>B12</f>
        <v>-6000000</v>
      </c>
      <c r="C15" s="17">
        <f>B15+C12</f>
        <v>-4425000</v>
      </c>
      <c r="D15" s="17">
        <f>C15+D12</f>
        <v>-2771250</v>
      </c>
      <c r="E15" s="17">
        <f>D15+E12</f>
        <v>-1034812</v>
      </c>
      <c r="F15" s="17">
        <f>E15+F12</f>
        <v>788447</v>
      </c>
      <c r="G15" s="17">
        <f>F15+G12</f>
        <v>2702869</v>
      </c>
    </row>
    <row r="16" spans="1:7" x14ac:dyDescent="0.25">
      <c r="A16" s="4" t="s">
        <v>254</v>
      </c>
      <c r="B16" s="17">
        <f>B14</f>
        <v>-6000000</v>
      </c>
      <c r="C16" s="17">
        <f>B16+C14</f>
        <v>-4568181.818181818</v>
      </c>
      <c r="D16" s="17">
        <f>C16+D14</f>
        <v>-3201446.280991736</v>
      </c>
      <c r="E16" s="17">
        <f>D16+E14</f>
        <v>-1896834.7107438024</v>
      </c>
      <c r="F16" s="17">
        <f>E16+F14</f>
        <v>-651524.2811283392</v>
      </c>
      <c r="G16" s="17">
        <f>F16+G14</f>
        <v>537181.1600052142</v>
      </c>
    </row>
    <row r="17" spans="1:7" x14ac:dyDescent="0.25">
      <c r="A17" s="3" t="s">
        <v>255</v>
      </c>
      <c r="C17" s="36">
        <f>IF(AND(B15&lt;0,C15&gt;=0),0-B15/C12,0)</f>
        <v>0</v>
      </c>
      <c r="D17" s="36">
        <f>IF(AND(C15&lt;0,D15&gt;=0),1-C15/D12,0)</f>
        <v>0</v>
      </c>
      <c r="E17" s="36">
        <f>IF(AND(D15&lt;0,E15&gt;=0),2-D15/E12,0)</f>
        <v>0</v>
      </c>
      <c r="F17" s="36">
        <f>IF(AND(E15&lt;0,F15&gt;=0),3-E15/F12,0)</f>
        <v>3.5675617122964978</v>
      </c>
      <c r="G17" s="36">
        <f>IF(AND(F15&lt;0,G15&gt;=0),4-F15/G12,0)</f>
        <v>0</v>
      </c>
    </row>
    <row r="18" spans="1:7" x14ac:dyDescent="0.25">
      <c r="A18" s="3" t="s">
        <v>256</v>
      </c>
      <c r="C18" s="36">
        <f>IF(AND(B16&lt;0,C16&gt;=0),0-B16/C14,0)</f>
        <v>0</v>
      </c>
      <c r="D18" s="36">
        <f>IF(AND(C16&lt;0,D16&gt;=0),1-C16/D14,0)</f>
        <v>0</v>
      </c>
      <c r="E18" s="36">
        <f>IF(AND(D16&lt;0,E16&gt;=0),2-D16/E14,0)</f>
        <v>0</v>
      </c>
      <c r="F18" s="36">
        <f>IF(AND(E16&lt;0,F16&gt;=0),3-E16/F14,0)</f>
        <v>0</v>
      </c>
      <c r="G18" s="36">
        <f>IF(AND(F16&lt;0,G16&gt;=0),4-F16/G14,0)</f>
        <v>4.548095649757474</v>
      </c>
    </row>
    <row r="20" spans="1:7" x14ac:dyDescent="0.25">
      <c r="A20" s="5" t="s">
        <v>257</v>
      </c>
      <c r="B20" s="5"/>
      <c r="C20" s="5"/>
      <c r="D20" s="5"/>
      <c r="E20" s="5"/>
      <c r="F20" s="5"/>
      <c r="G20" s="5"/>
    </row>
    <row r="21" spans="1:2" x14ac:dyDescent="0.25">
      <c r="A21" s="7" t="s">
        <v>258</v>
      </c>
      <c r="B21" s="20">
        <f>B12+NPV($B$7,C12:G12)</f>
        <v>537181.1600052137</v>
      </c>
    </row>
    <row r="22" spans="1:2" x14ac:dyDescent="0.25">
      <c r="A22" s="7" t="s">
        <v>259</v>
      </c>
      <c r="B22" s="32">
        <f>IRR(B12:G12)</f>
        <v>0.13327366972748073</v>
      </c>
    </row>
    <row r="23" spans="1:2" x14ac:dyDescent="0.25">
      <c r="A23" s="7" t="s">
        <v>260</v>
      </c>
      <c r="B23" s="32">
        <f>MIRR(B12:G12,$B$7,$B$8)</f>
        <v>0.11053947895324923</v>
      </c>
    </row>
    <row r="24" spans="1:2" x14ac:dyDescent="0.25">
      <c r="A24" s="7" t="s">
        <v>261</v>
      </c>
      <c r="B24" s="37">
        <f>IF(SUM(C17:G17)=0,"Never",SUM(C17:G17))</f>
        <v>3.5675617122964978</v>
      </c>
    </row>
    <row r="25" spans="1:2" x14ac:dyDescent="0.25">
      <c r="A25" s="7" t="s">
        <v>262</v>
      </c>
      <c r="B25" s="37">
        <f>IF(SUM(C18:G18)=0,"Never",SUM(C18:G18))</f>
        <v>4.548095649757474</v>
      </c>
    </row>
    <row r="26" spans="1:2" x14ac:dyDescent="0.25">
      <c r="A26" s="7" t="s">
        <v>263</v>
      </c>
      <c r="B26" s="33">
        <f>NPV($B$7,C12:G12)/$B$6</f>
        <v>1.0895301933342023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7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6" customWidth="1"/>
  </cols>
  <sheetData>
    <row r="1" spans="1:1" x14ac:dyDescent="0.25">
      <c r="A1" s="1" t="s">
        <v>264</v>
      </c>
    </row>
    <row r="2" spans="1:1" x14ac:dyDescent="0.25">
      <c r="A2" s="2" t="s">
        <v>265</v>
      </c>
    </row>
    <row r="3" spans="1:1" x14ac:dyDescent="0.25">
      <c r="A3" s="3" t="s">
        <v>2</v>
      </c>
    </row>
    <row r="5" spans="1:3" x14ac:dyDescent="0.25">
      <c r="A5" s="5" t="s">
        <v>71</v>
      </c>
      <c r="B5" s="5"/>
      <c r="C5" s="5"/>
    </row>
    <row r="6" spans="1:2" x14ac:dyDescent="0.25">
      <c r="A6" s="4" t="s">
        <v>266</v>
      </c>
      <c r="B6" s="13">
        <v>500000</v>
      </c>
    </row>
    <row r="7" spans="1:2" x14ac:dyDescent="0.25">
      <c r="A7" s="4" t="s">
        <v>267</v>
      </c>
      <c r="B7" s="38">
        <v>50</v>
      </c>
    </row>
    <row r="8" spans="1:2" x14ac:dyDescent="0.25">
      <c r="A8" s="4" t="s">
        <v>268</v>
      </c>
      <c r="B8" s="38">
        <v>30</v>
      </c>
    </row>
    <row r="9" spans="1:2" x14ac:dyDescent="0.25">
      <c r="A9" s="4" t="s">
        <v>269</v>
      </c>
      <c r="B9" s="16">
        <v>40000</v>
      </c>
    </row>
    <row r="11" spans="1:3" x14ac:dyDescent="0.25">
      <c r="A11" s="5" t="s">
        <v>257</v>
      </c>
      <c r="B11" s="5"/>
      <c r="C11" s="5"/>
    </row>
    <row r="12" spans="1:2" x14ac:dyDescent="0.25">
      <c r="A12" s="4" t="s">
        <v>270</v>
      </c>
      <c r="B12" s="39">
        <f>$B$7-$B$8</f>
        <v>20</v>
      </c>
    </row>
    <row r="13" spans="1:2" x14ac:dyDescent="0.25">
      <c r="A13" s="7" t="s">
        <v>271</v>
      </c>
      <c r="B13" s="40">
        <f>$B$6/B12</f>
        <v>25000</v>
      </c>
    </row>
    <row r="14" spans="1:2" x14ac:dyDescent="0.25">
      <c r="A14" s="7" t="s">
        <v>272</v>
      </c>
      <c r="B14" s="20">
        <f>B13*$B$7</f>
        <v>1250000</v>
      </c>
    </row>
    <row r="15" spans="1:2" x14ac:dyDescent="0.25">
      <c r="A15" s="7" t="s">
        <v>273</v>
      </c>
      <c r="B15" s="20">
        <f>$B$9*B12-$B$6</f>
        <v>300000</v>
      </c>
    </row>
    <row r="16" spans="1:2" x14ac:dyDescent="0.25">
      <c r="A16" s="4" t="s">
        <v>274</v>
      </c>
      <c r="B16" s="22">
        <f>($B$9-B13)/$B$9</f>
        <v>0.375</v>
      </c>
    </row>
    <row r="17" spans="1:2" x14ac:dyDescent="0.25">
      <c r="A17" s="4" t="s">
        <v>275</v>
      </c>
      <c r="B17" s="26">
        <f>$B$9*B12/B15</f>
        <v>2.6666666666666665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L55"/>
  <sheetViews>
    <sheetView workbookViewId="0" showGridLines="0"/>
  </sheetViews>
  <sheetFormatPr defaultRowHeight="15" outlineLevelRow="0" outlineLevelCol="0" x14ac:dyDescent="55"/>
  <cols>
    <col min="1" max="1" width="46" customWidth="1"/>
    <col min="2" max="12" width="14" customWidth="1"/>
  </cols>
  <sheetData>
    <row r="1" spans="1:1" x14ac:dyDescent="0.25">
      <c r="A1" s="1" t="s">
        <v>276</v>
      </c>
    </row>
    <row r="2" spans="1:1" x14ac:dyDescent="0.25">
      <c r="A2" s="2" t="s">
        <v>277</v>
      </c>
    </row>
    <row r="3" spans="1:1" x14ac:dyDescent="0.25">
      <c r="A3" s="3" t="s">
        <v>2</v>
      </c>
    </row>
    <row r="5" spans="1:12" x14ac:dyDescent="0.25">
      <c r="A5" s="5" t="s">
        <v>71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" x14ac:dyDescent="0.25">
      <c r="A6" s="4" t="s">
        <v>241</v>
      </c>
      <c r="B6" s="13">
        <v>2000000</v>
      </c>
    </row>
    <row r="7" spans="1:2" x14ac:dyDescent="0.25">
      <c r="A7" s="4" t="s">
        <v>278</v>
      </c>
      <c r="B7" s="13">
        <v>1200000</v>
      </c>
    </row>
    <row r="8" spans="1:2" x14ac:dyDescent="0.25">
      <c r="A8" s="4" t="s">
        <v>73</v>
      </c>
      <c r="B8" s="15">
        <v>0.06</v>
      </c>
    </row>
    <row r="9" spans="1:2" x14ac:dyDescent="0.25">
      <c r="A9" s="4" t="s">
        <v>279</v>
      </c>
      <c r="B9" s="15">
        <v>0.45</v>
      </c>
    </row>
    <row r="10" spans="1:2" x14ac:dyDescent="0.25">
      <c r="A10" s="4" t="s">
        <v>266</v>
      </c>
      <c r="B10" s="13">
        <v>250000</v>
      </c>
    </row>
    <row r="11" spans="1:3" x14ac:dyDescent="0.25">
      <c r="A11" s="4" t="s">
        <v>280</v>
      </c>
      <c r="B11" s="16">
        <v>10</v>
      </c>
      <c r="C11" s="3" t="s">
        <v>281</v>
      </c>
    </row>
    <row r="12" spans="1:2" x14ac:dyDescent="0.25">
      <c r="A12" s="4" t="s">
        <v>282</v>
      </c>
      <c r="B12" s="15">
        <v>0.1</v>
      </c>
    </row>
    <row r="13" spans="1:2" x14ac:dyDescent="0.25">
      <c r="A13" s="4" t="s">
        <v>78</v>
      </c>
      <c r="B13" s="15">
        <v>0.25</v>
      </c>
    </row>
    <row r="14" spans="1:2" x14ac:dyDescent="0.25">
      <c r="A14" s="4" t="s">
        <v>283</v>
      </c>
      <c r="B14" s="13">
        <v>200000</v>
      </c>
    </row>
    <row r="16" spans="1:12" x14ac:dyDescent="0.25">
      <c r="A16" s="5" t="s">
        <v>284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6" t="s">
        <v>208</v>
      </c>
      <c r="B17" s="12" t="s">
        <v>245</v>
      </c>
      <c r="C17" s="12" t="s">
        <v>246</v>
      </c>
      <c r="D17" s="12" t="s">
        <v>247</v>
      </c>
      <c r="E17" s="12" t="s">
        <v>248</v>
      </c>
      <c r="F17" s="12" t="s">
        <v>249</v>
      </c>
      <c r="G17" s="12" t="s">
        <v>250</v>
      </c>
      <c r="H17" s="12" t="s">
        <v>285</v>
      </c>
      <c r="I17" s="12" t="s">
        <v>286</v>
      </c>
      <c r="J17" s="12" t="s">
        <v>287</v>
      </c>
      <c r="K17" s="12" t="s">
        <v>288</v>
      </c>
      <c r="L17" s="12" t="s">
        <v>289</v>
      </c>
    </row>
    <row r="18" spans="1:12" x14ac:dyDescent="0.25">
      <c r="A18" s="4" t="s">
        <v>51</v>
      </c>
      <c r="C18" s="17">
        <f>$B$7*(1+$B$8)^0</f>
        <v>1200000</v>
      </c>
      <c r="D18" s="17">
        <f>$B$7*(1+$B$8)^1</f>
        <v>1272000</v>
      </c>
      <c r="E18" s="17">
        <f>$B$7*(1+$B$8)^2</f>
        <v>1348320.0000000002</v>
      </c>
      <c r="F18" s="17">
        <f>$B$7*(1+$B$8)^3</f>
        <v>1429219.2000000002</v>
      </c>
      <c r="G18" s="17">
        <f>$B$7*(1+$B$8)^4</f>
        <v>1514972.3520000004</v>
      </c>
      <c r="H18" s="17">
        <f>$B$7*(1+$B$8)^5</f>
        <v>1605870.6931200004</v>
      </c>
      <c r="I18" s="17">
        <f>$B$7*(1+$B$8)^6</f>
        <v>1702222.9347072004</v>
      </c>
      <c r="J18" s="17">
        <f>$B$7*(1+$B$8)^7</f>
        <v>1804356.3107896326</v>
      </c>
      <c r="K18" s="17">
        <f>$B$7*(1+$B$8)^8</f>
        <v>1912617.6894370108</v>
      </c>
      <c r="L18" s="17">
        <f>$B$7*(1+$B$8)^9</f>
        <v>2027374.7508032315</v>
      </c>
    </row>
    <row r="19" spans="1:12" x14ac:dyDescent="0.25">
      <c r="A19" s="4" t="s">
        <v>290</v>
      </c>
      <c r="C19" s="17">
        <f>C18*$B$9</f>
        <v>540000</v>
      </c>
      <c r="D19" s="17">
        <f>D18*$B$9</f>
        <v>572400</v>
      </c>
      <c r="E19" s="17">
        <f>E18*$B$9</f>
        <v>606744.0000000001</v>
      </c>
      <c r="F19" s="17">
        <f>F18*$B$9</f>
        <v>643148.6400000001</v>
      </c>
      <c r="G19" s="17">
        <f>G18*$B$9</f>
        <v>681737.5584000002</v>
      </c>
      <c r="H19" s="17">
        <f>H18*$B$9</f>
        <v>722641.8119040002</v>
      </c>
      <c r="I19" s="17">
        <f>I18*$B$9</f>
        <v>766000.3206182402</v>
      </c>
      <c r="J19" s="17">
        <f>J18*$B$9</f>
        <v>811960.3398553347</v>
      </c>
      <c r="K19" s="17">
        <f>K18*$B$9</f>
        <v>860677.9602466549</v>
      </c>
      <c r="L19" s="17">
        <f>L18*$B$9</f>
        <v>912318.6378614542</v>
      </c>
    </row>
    <row r="20" spans="1:12" x14ac:dyDescent="0.25">
      <c r="A20" s="4" t="s">
        <v>291</v>
      </c>
      <c r="C20" s="17">
        <f>$B$10</f>
        <v>250000</v>
      </c>
      <c r="D20" s="17">
        <f>$B$10</f>
        <v>250000</v>
      </c>
      <c r="E20" s="17">
        <f>$B$10</f>
        <v>250000</v>
      </c>
      <c r="F20" s="17">
        <f>$B$10</f>
        <v>250000</v>
      </c>
      <c r="G20" s="17">
        <f>$B$10</f>
        <v>250000</v>
      </c>
      <c r="H20" s="17">
        <f>$B$10</f>
        <v>250000</v>
      </c>
      <c r="I20" s="17">
        <f>$B$10</f>
        <v>250000</v>
      </c>
      <c r="J20" s="17">
        <f>$B$10</f>
        <v>250000</v>
      </c>
      <c r="K20" s="17">
        <f>$B$10</f>
        <v>250000</v>
      </c>
      <c r="L20" s="17">
        <f>$B$10</f>
        <v>250000</v>
      </c>
    </row>
    <row r="21" spans="1:12" x14ac:dyDescent="0.25">
      <c r="A21" s="7" t="s">
        <v>55</v>
      </c>
      <c r="C21" s="17">
        <f>C18-C19-C20</f>
        <v>410000</v>
      </c>
      <c r="D21" s="17">
        <f>D18-D19-D20</f>
        <v>449600</v>
      </c>
      <c r="E21" s="17">
        <f>E18-E19-E20</f>
        <v>491576.0000000001</v>
      </c>
      <c r="F21" s="17">
        <f>F18-F19-F20</f>
        <v>536070.56</v>
      </c>
      <c r="G21" s="17">
        <f>G18-G19-G20</f>
        <v>583234.7936000002</v>
      </c>
      <c r="H21" s="17">
        <f>H18-H19-H20</f>
        <v>633228.8812160002</v>
      </c>
      <c r="I21" s="17">
        <f>I18-I19-I20</f>
        <v>686222.6140889602</v>
      </c>
      <c r="J21" s="17">
        <f>J18-J19-J20</f>
        <v>742395.9709342979</v>
      </c>
      <c r="K21" s="17">
        <f>K18-K19-K20</f>
        <v>801939.7291903559</v>
      </c>
      <c r="L21" s="17">
        <f>L18-L19-L20</f>
        <v>865056.1129417773</v>
      </c>
    </row>
    <row r="22" spans="1:12" x14ac:dyDescent="0.25">
      <c r="A22" s="4" t="s">
        <v>292</v>
      </c>
      <c r="C22" s="17">
        <f>($B$6-$B$14)/$B$11</f>
        <v>180000</v>
      </c>
      <c r="D22" s="17">
        <f>($B$6-$B$14)/$B$11</f>
        <v>180000</v>
      </c>
      <c r="E22" s="17">
        <f>($B$6-$B$14)/$B$11</f>
        <v>180000</v>
      </c>
      <c r="F22" s="17">
        <f>($B$6-$B$14)/$B$11</f>
        <v>180000</v>
      </c>
      <c r="G22" s="17">
        <f>($B$6-$B$14)/$B$11</f>
        <v>180000</v>
      </c>
      <c r="H22" s="17">
        <f>($B$6-$B$14)/$B$11</f>
        <v>180000</v>
      </c>
      <c r="I22" s="17">
        <f>($B$6-$B$14)/$B$11</f>
        <v>180000</v>
      </c>
      <c r="J22" s="17">
        <f>($B$6-$B$14)/$B$11</f>
        <v>180000</v>
      </c>
      <c r="K22" s="17">
        <f>($B$6-$B$14)/$B$11</f>
        <v>180000</v>
      </c>
      <c r="L22" s="17">
        <f>($B$6-$B$14)/$B$11</f>
        <v>180000</v>
      </c>
    </row>
    <row r="23" spans="1:12" x14ac:dyDescent="0.25">
      <c r="A23" s="4" t="s">
        <v>211</v>
      </c>
      <c r="C23" s="17">
        <f>MAX(0,(C21-C22)*$B$13)</f>
        <v>57500</v>
      </c>
      <c r="D23" s="17">
        <f>MAX(0,(D21-D22)*$B$13)</f>
        <v>67400</v>
      </c>
      <c r="E23" s="17">
        <f>MAX(0,(E21-E22)*$B$13)</f>
        <v>77894.00000000003</v>
      </c>
      <c r="F23" s="17">
        <f>MAX(0,(F21-F22)*$B$13)</f>
        <v>89017.64000000001</v>
      </c>
      <c r="G23" s="17">
        <f>MAX(0,(G21-G22)*$B$13)</f>
        <v>100808.69840000005</v>
      </c>
      <c r="H23" s="17">
        <f>MAX(0,(H21-H22)*$B$13)</f>
        <v>113307.22030400005</v>
      </c>
      <c r="I23" s="17">
        <f>MAX(0,(I21-I22)*$B$13)</f>
        <v>126555.65352224006</v>
      </c>
      <c r="J23" s="17">
        <f>MAX(0,(J21-J22)*$B$13)</f>
        <v>140598.99273357447</v>
      </c>
      <c r="K23" s="17">
        <f>MAX(0,(K21-K22)*$B$13)</f>
        <v>155484.93229758897</v>
      </c>
      <c r="L23" s="17">
        <f>MAX(0,(L21-L22)*$B$13)</f>
        <v>171264.02823544433</v>
      </c>
    </row>
    <row r="24" spans="1:12" x14ac:dyDescent="0.25">
      <c r="A24" s="4" t="s">
        <v>293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f>$B$14</f>
        <v>200000</v>
      </c>
    </row>
    <row r="25" spans="1:12" x14ac:dyDescent="0.25">
      <c r="A25" s="7" t="s">
        <v>294</v>
      </c>
      <c r="B25" s="18">
        <f>-$B$6</f>
        <v>-2000000</v>
      </c>
      <c r="C25" s="18">
        <f>C21-C23+C24</f>
        <v>352500</v>
      </c>
      <c r="D25" s="18">
        <f>D21-D23+D24</f>
        <v>382200</v>
      </c>
      <c r="E25" s="18">
        <f>E21-E23+E24</f>
        <v>413682.0000000001</v>
      </c>
      <c r="F25" s="18">
        <f>F21-F23+F24</f>
        <v>447052.92000000004</v>
      </c>
      <c r="G25" s="18">
        <f>G21-G23+G24</f>
        <v>482426.09520000016</v>
      </c>
      <c r="H25" s="18">
        <f>H21-H23+H24</f>
        <v>519921.6609120001</v>
      </c>
      <c r="I25" s="18">
        <f>I21-I23+I24</f>
        <v>559666.9605667202</v>
      </c>
      <c r="J25" s="18">
        <f>J21-J23+J24</f>
        <v>601796.9782007234</v>
      </c>
      <c r="K25" s="18">
        <f>K21-K23+K24</f>
        <v>646454.7968927668</v>
      </c>
      <c r="L25" s="18">
        <f>L21-L23+L24</f>
        <v>893792.084706333</v>
      </c>
    </row>
    <row r="26" spans="1:12" x14ac:dyDescent="0.25">
      <c r="A26" s="4" t="s">
        <v>253</v>
      </c>
      <c r="B26" s="17">
        <f>B25</f>
        <v>-2000000</v>
      </c>
      <c r="C26" s="17">
        <f>B26+C25</f>
        <v>-1647500</v>
      </c>
      <c r="D26" s="17">
        <f>C26+D25</f>
        <v>-1265300</v>
      </c>
      <c r="E26" s="17">
        <f>D26+E25</f>
        <v>-851617.9999999999</v>
      </c>
      <c r="F26" s="17">
        <f>E26+F25</f>
        <v>-404565.07999999984</v>
      </c>
      <c r="G26" s="17">
        <f>F26+G25</f>
        <v>77861.01520000031</v>
      </c>
      <c r="H26" s="17">
        <f>G26+H25</f>
        <v>597782.6761120004</v>
      </c>
      <c r="I26" s="17">
        <f>H26+I25</f>
        <v>1157449.6366787206</v>
      </c>
      <c r="J26" s="17">
        <f>I26+J25</f>
        <v>1759246.614879444</v>
      </c>
      <c r="K26" s="17">
        <f>J26+K25</f>
        <v>2405701.411772211</v>
      </c>
      <c r="L26" s="17">
        <f>K26+L25</f>
        <v>3299493.496478544</v>
      </c>
    </row>
    <row r="27" spans="1:12" x14ac:dyDescent="0.25">
      <c r="A27" s="3" t="s">
        <v>255</v>
      </c>
      <c r="C27" s="36">
        <f>IF(AND(B26&lt;0,C26&gt;=0),0-B26/C25,0)</f>
        <v>0</v>
      </c>
      <c r="D27" s="36">
        <f>IF(AND(C26&lt;0,D26&gt;=0),1-C26/D25,0)</f>
        <v>0</v>
      </c>
      <c r="E27" s="36">
        <f>IF(AND(D26&lt;0,E26&gt;=0),2-D26/E25,0)</f>
        <v>0</v>
      </c>
      <c r="F27" s="36">
        <f>IF(AND(E26&lt;0,F26&gt;=0),3-E26/F25,0)</f>
        <v>0</v>
      </c>
      <c r="G27" s="36">
        <f>IF(AND(F26&lt;0,G26&gt;=0),4-F26/G25,0)</f>
        <v>4.838605299392602</v>
      </c>
      <c r="H27" s="36">
        <f>IF(AND(G26&lt;0,H26&gt;=0),5-G26/H25,0)</f>
        <v>0</v>
      </c>
      <c r="I27" s="36">
        <f>IF(AND(H26&lt;0,I26&gt;=0),6-H26/I25,0)</f>
        <v>0</v>
      </c>
      <c r="J27" s="36">
        <f>IF(AND(I26&lt;0,J26&gt;=0),7-I26/J25,0)</f>
        <v>0</v>
      </c>
      <c r="K27" s="36">
        <f>IF(AND(J26&lt;0,K26&gt;=0),8-J26/K25,0)</f>
        <v>0</v>
      </c>
      <c r="L27" s="36">
        <f>IF(AND(K26&lt;0,L26&gt;=0),9-K26/L25,0)</f>
        <v>0</v>
      </c>
    </row>
    <row r="28" spans="1:12" x14ac:dyDescent="0.25">
      <c r="A28" s="4" t="s">
        <v>252</v>
      </c>
      <c r="B28" s="17">
        <f>B25</f>
        <v>-2000000</v>
      </c>
      <c r="C28" s="17">
        <f>C25/(1+$B$12)^1</f>
        <v>320454.5454545454</v>
      </c>
      <c r="D28" s="17">
        <f>D25/(1+$B$12)^2</f>
        <v>315867.7685950413</v>
      </c>
      <c r="E28" s="17">
        <f>E25/(1+$B$12)^3</f>
        <v>310805.40946656646</v>
      </c>
      <c r="F28" s="17">
        <f>F25/(1+$B$12)^4</f>
        <v>305343.15962024446</v>
      </c>
      <c r="G28" s="17">
        <f>G25/(1+$B$12)^5</f>
        <v>299548.64930984593</v>
      </c>
      <c r="H28" s="17">
        <f>H25/(1+$B$12)^6</f>
        <v>293482.223255084</v>
      </c>
      <c r="I28" s="17">
        <f>I25/(1+$B$12)^7</f>
        <v>287197.64432031714</v>
      </c>
      <c r="J28" s="17">
        <f>J25/(1+$B$12)^8</f>
        <v>280742.73171855335</v>
      </c>
      <c r="K28" s="17">
        <f>K25/(1+$B$12)^9</f>
        <v>274159.9397476907</v>
      </c>
      <c r="L28" s="17">
        <f>L25/(1+$B$12)^10</f>
        <v>344595.540403758</v>
      </c>
    </row>
    <row r="29" spans="1:12" x14ac:dyDescent="0.25">
      <c r="A29" s="4" t="s">
        <v>254</v>
      </c>
      <c r="B29" s="17">
        <f>B28</f>
        <v>-2000000</v>
      </c>
      <c r="C29" s="17">
        <f>B29+C28</f>
        <v>-1679545.4545454546</v>
      </c>
      <c r="D29" s="17">
        <f>C29+D28</f>
        <v>-1363677.6859504133</v>
      </c>
      <c r="E29" s="17">
        <f>D29+E28</f>
        <v>-1052872.2764838468</v>
      </c>
      <c r="F29" s="17">
        <f>E29+F28</f>
        <v>-747529.1168636023</v>
      </c>
      <c r="G29" s="17">
        <f>F29+G28</f>
        <v>-447980.4675537564</v>
      </c>
      <c r="H29" s="17">
        <f>G29+H28</f>
        <v>-154498.24429867236</v>
      </c>
      <c r="I29" s="17">
        <f>H29+I28</f>
        <v>132699.40002164477</v>
      </c>
      <c r="J29" s="17">
        <f>I29+J28</f>
        <v>413442.1317401981</v>
      </c>
      <c r="K29" s="17">
        <f>J29+K28</f>
        <v>687602.0714878888</v>
      </c>
      <c r="L29" s="17">
        <f>K29+L28</f>
        <v>1032197.6118916469</v>
      </c>
    </row>
    <row r="30" spans="1:12" x14ac:dyDescent="0.25">
      <c r="A30" s="3" t="s">
        <v>256</v>
      </c>
      <c r="C30" s="36">
        <f>IF(AND(B29&lt;0,C29&gt;=0),0-B29/C28,0)</f>
        <v>0</v>
      </c>
      <c r="D30" s="36">
        <f>IF(AND(C29&lt;0,D29&gt;=0),1-C29/D28,0)</f>
        <v>0</v>
      </c>
      <c r="E30" s="36">
        <f>IF(AND(D29&lt;0,E29&gt;=0),2-D29/E28,0)</f>
        <v>0</v>
      </c>
      <c r="F30" s="36">
        <f>IF(AND(E29&lt;0,F29&gt;=0),3-E29/F28,0)</f>
        <v>0</v>
      </c>
      <c r="G30" s="36">
        <f>IF(AND(F29&lt;0,G29&gt;=0),4-F29/G28,0)</f>
        <v>0</v>
      </c>
      <c r="H30" s="36">
        <f>IF(AND(G29&lt;0,H29&gt;=0),5-G29/H28,0)</f>
        <v>0</v>
      </c>
      <c r="I30" s="36">
        <f>IF(AND(H29&lt;0,I29&gt;=0),6-H29/I28,0)</f>
        <v>6.537950945469307</v>
      </c>
      <c r="J30" s="36">
        <f>IF(AND(I29&lt;0,J29&gt;=0),7-I29/J28,0)</f>
        <v>0</v>
      </c>
      <c r="K30" s="36">
        <f>IF(AND(J29&lt;0,K29&gt;=0),8-J29/K28,0)</f>
        <v>0</v>
      </c>
      <c r="L30" s="36">
        <f>IF(AND(K29&lt;0,L29&gt;=0),9-K29/L28,0)</f>
        <v>0</v>
      </c>
    </row>
    <row r="32" spans="1:12" x14ac:dyDescent="0.25">
      <c r="A32" s="5" t="s">
        <v>257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2" x14ac:dyDescent="0.25">
      <c r="A33" s="7" t="s">
        <v>258</v>
      </c>
      <c r="B33" s="20">
        <f>B25+NPV($B$12,C25:L25)</f>
        <v>1032197.6118916469</v>
      </c>
    </row>
    <row r="34" spans="1:2" x14ac:dyDescent="0.25">
      <c r="A34" s="7" t="s">
        <v>259</v>
      </c>
      <c r="B34" s="32">
        <f>IRR(B25:L25)</f>
        <v>0.1933523443230764</v>
      </c>
    </row>
    <row r="35" spans="1:2" x14ac:dyDescent="0.25">
      <c r="A35" s="7" t="s">
        <v>261</v>
      </c>
      <c r="B35" s="37">
        <f>IF(SUM(C27:L27)=0,"Never",SUM(C27:L27))</f>
        <v>4.838605299392602</v>
      </c>
    </row>
    <row r="36" spans="1:2" x14ac:dyDescent="0.25">
      <c r="A36" s="7" t="s">
        <v>262</v>
      </c>
      <c r="B36" s="37">
        <f>IF(SUM(C30:L30)=0,"Never",SUM(C30:L30))</f>
        <v>6.537950945469307</v>
      </c>
    </row>
    <row r="37" spans="1:2" x14ac:dyDescent="0.25">
      <c r="A37" s="7" t="s">
        <v>263</v>
      </c>
      <c r="B37" s="33">
        <f>NPV($B$12,C25:L25)/$B$6</f>
        <v>1.5160988059458234</v>
      </c>
    </row>
    <row r="38" spans="1:2" x14ac:dyDescent="0.25">
      <c r="A38" s="7" t="s">
        <v>295</v>
      </c>
      <c r="B38" s="20">
        <f>$B$10/(1-$B$9)</f>
        <v>454545.45454545453</v>
      </c>
    </row>
    <row r="40" spans="1:12" x14ac:dyDescent="0.25">
      <c r="A40" s="5" t="s">
        <v>296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4" x14ac:dyDescent="0.25">
      <c r="A41" s="6" t="s">
        <v>297</v>
      </c>
      <c r="B41" s="12" t="s">
        <v>298</v>
      </c>
      <c r="C41" s="12" t="s">
        <v>220</v>
      </c>
      <c r="D41" s="12" t="s">
        <v>299</v>
      </c>
    </row>
    <row r="42" spans="1:4" x14ac:dyDescent="0.25">
      <c r="A42" s="4" t="s">
        <v>300</v>
      </c>
      <c r="B42" s="17">
        <v>266059.6585779154</v>
      </c>
      <c r="C42" s="22">
        <v>0.1255405345987588</v>
      </c>
      <c r="D42" s="41">
        <v>6.221293966159862</v>
      </c>
    </row>
    <row r="43" spans="1:4" x14ac:dyDescent="0.25">
      <c r="A43" s="4" t="s">
        <v>301</v>
      </c>
      <c r="B43" s="17">
        <v>649128.6352347813</v>
      </c>
      <c r="C43" s="22">
        <v>0.1603531132211285</v>
      </c>
      <c r="D43" s="41">
        <v>5.443429973398869</v>
      </c>
    </row>
    <row r="44" spans="1:4" x14ac:dyDescent="0.25">
      <c r="A44" s="4" t="s">
        <v>302</v>
      </c>
      <c r="B44" s="17">
        <v>1032197.6118916471</v>
      </c>
      <c r="C44" s="22">
        <v>0.1933523443230764</v>
      </c>
      <c r="D44" s="41">
        <v>4.838605299392601</v>
      </c>
    </row>
    <row r="45" spans="1:4" x14ac:dyDescent="0.25">
      <c r="A45" s="4" t="s">
        <v>303</v>
      </c>
      <c r="B45" s="17">
        <v>1415266.5885485131</v>
      </c>
      <c r="C45" s="22">
        <v>0.22493950258137713</v>
      </c>
      <c r="D45" s="41">
        <v>4.345045208342797</v>
      </c>
    </row>
    <row r="46" spans="1:4" x14ac:dyDescent="0.25">
      <c r="A46" s="4" t="s">
        <v>304</v>
      </c>
      <c r="B46" s="17">
        <v>603566.9068495205</v>
      </c>
      <c r="C46" s="22">
        <v>0.15607979647321096</v>
      </c>
      <c r="D46" s="41">
        <v>5.546321506781661</v>
      </c>
    </row>
    <row r="48" spans="1:12" x14ac:dyDescent="0.25">
      <c r="A48" s="5" t="s">
        <v>305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" x14ac:dyDescent="0.25">
      <c r="A49" s="4" t="s">
        <v>306</v>
      </c>
    </row>
    <row r="50" spans="1:1" x14ac:dyDescent="0.25">
      <c r="A50" s="4" t="s">
        <v>307</v>
      </c>
    </row>
    <row r="51" spans="1:1" x14ac:dyDescent="0.25">
      <c r="A51" s="4" t="s">
        <v>308</v>
      </c>
    </row>
    <row r="52" spans="1:1" x14ac:dyDescent="0.25">
      <c r="A52" s="4" t="s">
        <v>309</v>
      </c>
    </row>
    <row r="54" spans="1:1" x14ac:dyDescent="0.25">
      <c r="A54" s="7" t="s">
        <v>310</v>
      </c>
    </row>
    <row r="55" spans="1:1" x14ac:dyDescent="0.25">
      <c r="A55" s="4" t="s">
        <v>311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17"/>
  <sheetViews>
    <sheetView workbookViewId="0" showGridLines="0"/>
  </sheetViews>
  <sheetFormatPr defaultRowHeight="15" outlineLevelRow="0" outlineLevelCol="0" x14ac:dyDescent="55"/>
  <cols>
    <col min="1" max="1" width="40" customWidth="1"/>
    <col min="2" max="6" width="14" customWidth="1"/>
  </cols>
  <sheetData>
    <row r="1" spans="1:1" x14ac:dyDescent="0.25">
      <c r="A1" s="1" t="s">
        <v>312</v>
      </c>
    </row>
    <row r="2" spans="1:1" x14ac:dyDescent="0.25">
      <c r="A2" s="2" t="s">
        <v>313</v>
      </c>
    </row>
    <row r="3" spans="1:1" x14ac:dyDescent="0.25">
      <c r="A3" s="3" t="s">
        <v>2</v>
      </c>
    </row>
    <row r="5" spans="1:6" x14ac:dyDescent="0.25">
      <c r="A5" s="5" t="s">
        <v>314</v>
      </c>
      <c r="B5" s="5"/>
      <c r="C5" s="5"/>
      <c r="D5" s="5"/>
      <c r="E5" s="5"/>
      <c r="F5" s="5"/>
    </row>
    <row r="6" spans="1:6" x14ac:dyDescent="0.25">
      <c r="A6" s="6" t="s">
        <v>315</v>
      </c>
      <c r="B6" s="12" t="s">
        <v>46</v>
      </c>
      <c r="C6" s="12" t="s">
        <v>47</v>
      </c>
      <c r="D6" s="12" t="s">
        <v>48</v>
      </c>
      <c r="E6" s="12" t="s">
        <v>49</v>
      </c>
      <c r="F6" s="12" t="s">
        <v>50</v>
      </c>
    </row>
    <row r="7" spans="1:6" x14ac:dyDescent="0.25">
      <c r="A7" s="4" t="s">
        <v>73</v>
      </c>
      <c r="C7" s="22">
        <f>IFERROR(Historicals!C7/Historicals!B7-1,"")</f>
        <v>0.10975609756097571</v>
      </c>
      <c r="D7" s="22">
        <f>IFERROR(Historicals!D7/Historicals!C7-1,"")</f>
        <v>0.1428571428571428</v>
      </c>
      <c r="E7" s="22">
        <f>IFERROR(Historicals!E7/Historicals!D7-1,"")</f>
        <v>0.13461538461538458</v>
      </c>
      <c r="F7" s="22">
        <f>IFERROR(Historicals!F7/Historicals!E7-1,"")</f>
        <v>0.11016949152542366</v>
      </c>
    </row>
    <row r="8" spans="1:6" x14ac:dyDescent="0.25">
      <c r="A8" s="4" t="s">
        <v>316</v>
      </c>
      <c r="B8" s="22">
        <f>IFERROR(Historicals!B9/Historicals!B7,"")</f>
        <v>0.4024390243902439</v>
      </c>
      <c r="C8" s="22">
        <f>IFERROR(Historicals!C9/Historicals!C7,"")</f>
        <v>0.4065934065934066</v>
      </c>
      <c r="D8" s="22">
        <f>IFERROR(Historicals!D9/Historicals!D7,"")</f>
        <v>0.41346153846153844</v>
      </c>
      <c r="E8" s="22">
        <f>IFERROR(Historicals!E9/Historicals!E7,"")</f>
        <v>0.423728813559322</v>
      </c>
      <c r="F8" s="22">
        <f>IFERROR(Historicals!F9/Historicals!F7,"")</f>
        <v>0.42748091603053434</v>
      </c>
    </row>
    <row r="9" spans="1:6" x14ac:dyDescent="0.25">
      <c r="A9" s="4" t="s">
        <v>74</v>
      </c>
      <c r="B9" s="22">
        <f>IFERROR(Historicals!B11/Historicals!B7,"")</f>
        <v>0.18292682926829268</v>
      </c>
      <c r="C9" s="22">
        <f>IFERROR(Historicals!C11/Historicals!C7,"")</f>
        <v>0.19230769230769232</v>
      </c>
      <c r="D9" s="22">
        <f>IFERROR(Historicals!D11/Historicals!D7,"")</f>
        <v>0.20673076923076922</v>
      </c>
      <c r="E9" s="22">
        <f>IFERROR(Historicals!E11/Historicals!E7,"")</f>
        <v>0.22033898305084745</v>
      </c>
      <c r="F9" s="22">
        <f>IFERROR(Historicals!F11/Historicals!F7,"")</f>
        <v>0.22900763358778625</v>
      </c>
    </row>
    <row r="10" spans="1:6" x14ac:dyDescent="0.25">
      <c r="A10" s="4" t="s">
        <v>317</v>
      </c>
      <c r="B10" s="22">
        <f>IFERROR(Historicals!B15/Historicals!B7,"")</f>
        <v>0.09329268292682927</v>
      </c>
      <c r="C10" s="22">
        <f>IFERROR(Historicals!C15/Historicals!C7,"")</f>
        <v>0.10302197802197802</v>
      </c>
      <c r="D10" s="22">
        <f>IFERROR(Historicals!D15/Historicals!D7,"")</f>
        <v>0.11754807692307692</v>
      </c>
      <c r="E10" s="22">
        <f>IFERROR(Historicals!E15/Historicals!E7,"")</f>
        <v>0.13029661016949154</v>
      </c>
      <c r="F10" s="22">
        <f>IFERROR(Historicals!F15/Historicals!F7,"")</f>
        <v>0.1385496183206107</v>
      </c>
    </row>
    <row r="11" spans="1:6" x14ac:dyDescent="0.25">
      <c r="A11" s="4" t="s">
        <v>318</v>
      </c>
      <c r="B11" s="26">
        <f>IFERROR(Historicals!B17/Historicals!B19,"")</f>
        <v>1.631578947368421</v>
      </c>
      <c r="C11" s="26">
        <f>IFERROR(Historicals!C17/Historicals!C19,"")</f>
        <v>1.75</v>
      </c>
      <c r="D11" s="26">
        <f>IFERROR(Historicals!D17/Historicals!D19,"")</f>
        <v>1.8181818181818181</v>
      </c>
      <c r="E11" s="26">
        <f>IFERROR(Historicals!E17/Historicals!E19,"")</f>
        <v>1.9166666666666667</v>
      </c>
      <c r="F11" s="26">
        <f>IFERROR(Historicals!F17/Historicals!F19,"")</f>
        <v>2.0384615384615383</v>
      </c>
    </row>
    <row r="12" spans="1:6" x14ac:dyDescent="0.25">
      <c r="A12" s="4" t="s">
        <v>319</v>
      </c>
      <c r="B12" s="26">
        <f>IFERROR(Historicals!B21/Historicals!B22,"")</f>
        <v>0.7317073170731707</v>
      </c>
      <c r="C12" s="26">
        <f>IFERROR(Historicals!C21/Historicals!C22,"")</f>
        <v>0.5714285714285714</v>
      </c>
      <c r="D12" s="26">
        <f>IFERROR(Historicals!D21/Historicals!D22,"")</f>
        <v>0.4406779661016949</v>
      </c>
      <c r="E12" s="26">
        <f>IFERROR(Historicals!E21/Historicals!E22,"")</f>
        <v>0.34285714285714286</v>
      </c>
      <c r="F12" s="26">
        <f>IFERROR(Historicals!F21/Historicals!F22,"")</f>
        <v>0.2682926829268293</v>
      </c>
    </row>
    <row r="13" spans="1:6" x14ac:dyDescent="0.25">
      <c r="A13" s="4" t="s">
        <v>320</v>
      </c>
      <c r="B13" s="26">
        <f>IFERROR(Historicals!B21/Historicals!B11,"")</f>
        <v>2</v>
      </c>
      <c r="C13" s="26">
        <f>IFERROR(Historicals!C21/Historicals!C11,"")</f>
        <v>1.6</v>
      </c>
      <c r="D13" s="26">
        <f>IFERROR(Historicals!D21/Historicals!D11,"")</f>
        <v>1.2093023255813953</v>
      </c>
      <c r="E13" s="26">
        <f>IFERROR(Historicals!E21/Historicals!E11,"")</f>
        <v>0.9230769230769231</v>
      </c>
      <c r="F13" s="26">
        <f>IFERROR(Historicals!F21/Historicals!F11,"")</f>
        <v>0.7333333333333333</v>
      </c>
    </row>
    <row r="14" spans="1:6" x14ac:dyDescent="0.25">
      <c r="A14" s="4" t="s">
        <v>321</v>
      </c>
      <c r="B14" s="26">
        <f>IFERROR(Historicals!B13/Historicals!B14,"")</f>
        <v>6.666666666666667</v>
      </c>
      <c r="C14" s="26">
        <f>IFERROR(Historicals!C13/Historicals!C14,"")</f>
        <v>8.352941176470589</v>
      </c>
      <c r="D14" s="26">
        <f>IFERROR(Historicals!D13/Historicals!D14,"")</f>
        <v>11.1875</v>
      </c>
      <c r="E14" s="26">
        <f>IFERROR(Historicals!E13/Historicals!E14,"")</f>
        <v>14.666666666666666</v>
      </c>
      <c r="F14" s="26">
        <f>IFERROR(Historicals!F13/Historicals!F14,"")</f>
        <v>18.285714285714285</v>
      </c>
    </row>
    <row r="15" spans="1:6" x14ac:dyDescent="0.25">
      <c r="A15" s="4" t="s">
        <v>322</v>
      </c>
      <c r="B15" s="22">
        <f>IFERROR(Historicals!B15/Historicals!B18,"")</f>
        <v>0.08052631578947368</v>
      </c>
      <c r="C15" s="22">
        <f>IFERROR(Historicals!C15/Historicals!C18,"")</f>
        <v>0.09101941747572816</v>
      </c>
      <c r="D15" s="22">
        <f>IFERROR(Historicals!D15/Historicals!D18,"")</f>
        <v>0.10723684210526316</v>
      </c>
      <c r="E15" s="22">
        <f>IFERROR(Historicals!E15/Historicals!E18,"")</f>
        <v>0.12202380952380952</v>
      </c>
      <c r="F15" s="22">
        <f>IFERROR(Historicals!F15/Historicals!F18,"")</f>
        <v>0.12964285714285714</v>
      </c>
    </row>
    <row r="16" spans="1:6" x14ac:dyDescent="0.25">
      <c r="A16" s="4" t="s">
        <v>323</v>
      </c>
      <c r="B16" s="22">
        <f>IFERROR(Historicals!B15/Historicals!B22,"")</f>
        <v>0.18658536585365854</v>
      </c>
      <c r="C16" s="22">
        <f>IFERROR(Historicals!C15/Historicals!C22,"")</f>
        <v>0.1913265306122449</v>
      </c>
      <c r="D16" s="22">
        <f>IFERROR(Historicals!D15/Historicals!D22,"")</f>
        <v>0.20720338983050848</v>
      </c>
      <c r="E16" s="22">
        <f>IFERROR(Historicals!E15/Historicals!E22,"")</f>
        <v>0.21964285714285714</v>
      </c>
      <c r="F16" s="22">
        <f>IFERROR(Historicals!F15/Historicals!F22,"")</f>
        <v>0.22134146341463415</v>
      </c>
    </row>
    <row r="17" spans="1:6" x14ac:dyDescent="0.25">
      <c r="A17" s="4" t="s">
        <v>324</v>
      </c>
      <c r="B17" s="26">
        <f>IFERROR(Historicals!B24/Historicals!B15,"")</f>
        <v>1.5686274509803921</v>
      </c>
      <c r="C17" s="26">
        <f>IFERROR(Historicals!C24/Historicals!C15,"")</f>
        <v>1.4933333333333334</v>
      </c>
      <c r="D17" s="26">
        <f>IFERROR(Historicals!D24/Historicals!D15,"")</f>
        <v>1.3905930470347647</v>
      </c>
      <c r="E17" s="26">
        <f>IFERROR(Historicals!E24/Historicals!E15,"")</f>
        <v>1.3008130081300813</v>
      </c>
      <c r="F17" s="26">
        <f>IFERROR(Historicals!F24/Historicals!F15,"")</f>
        <v>1.322314049586777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33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5" customWidth="1"/>
  </cols>
  <sheetData>
    <row r="1" spans="1:1" x14ac:dyDescent="0.25">
      <c r="A1" s="1" t="s">
        <v>325</v>
      </c>
    </row>
    <row r="2" spans="1:1" x14ac:dyDescent="0.25">
      <c r="A2" s="2" t="s">
        <v>326</v>
      </c>
    </row>
    <row r="3" spans="1:1" x14ac:dyDescent="0.25">
      <c r="A3" s="3" t="s">
        <v>2</v>
      </c>
    </row>
    <row r="5" spans="1:7" x14ac:dyDescent="0.25">
      <c r="A5" s="5" t="s">
        <v>71</v>
      </c>
      <c r="B5" s="5"/>
      <c r="C5" s="5"/>
      <c r="D5" s="5"/>
      <c r="E5" s="5"/>
      <c r="F5" s="5"/>
      <c r="G5" s="5"/>
    </row>
    <row r="6" spans="1:2" x14ac:dyDescent="0.25">
      <c r="A6" s="4" t="s">
        <v>72</v>
      </c>
      <c r="B6" s="14">
        <f>Historicals!$F$7</f>
        <v>13100000</v>
      </c>
    </row>
    <row r="7" spans="1:2" x14ac:dyDescent="0.25">
      <c r="A7" s="4" t="s">
        <v>73</v>
      </c>
      <c r="B7" s="15">
        <v>0.124</v>
      </c>
    </row>
    <row r="8" spans="1:2" x14ac:dyDescent="0.25">
      <c r="A8" s="4" t="s">
        <v>316</v>
      </c>
      <c r="B8" s="15">
        <v>0.42700000000000005</v>
      </c>
    </row>
    <row r="9" spans="1:2" x14ac:dyDescent="0.25">
      <c r="A9" s="4" t="s">
        <v>327</v>
      </c>
      <c r="B9" s="15">
        <v>0.198</v>
      </c>
    </row>
    <row r="10" spans="1:2" x14ac:dyDescent="0.25">
      <c r="A10" s="4" t="s">
        <v>75</v>
      </c>
      <c r="B10" s="15">
        <v>0.034</v>
      </c>
    </row>
    <row r="11" spans="1:2" x14ac:dyDescent="0.25">
      <c r="A11" s="4" t="s">
        <v>76</v>
      </c>
      <c r="B11" s="15">
        <v>0.061</v>
      </c>
    </row>
    <row r="12" spans="1:2" x14ac:dyDescent="0.25">
      <c r="A12" s="4" t="s">
        <v>328</v>
      </c>
      <c r="B12" s="14">
        <f>Historicals!$F$21</f>
        <v>2200000</v>
      </c>
    </row>
    <row r="13" spans="1:2" x14ac:dyDescent="0.25">
      <c r="A13" s="4" t="s">
        <v>329</v>
      </c>
      <c r="B13" s="13">
        <v>220000</v>
      </c>
    </row>
    <row r="14" spans="1:2" x14ac:dyDescent="0.25">
      <c r="A14" s="4" t="s">
        <v>195</v>
      </c>
      <c r="B14" s="15">
        <v>0.064</v>
      </c>
    </row>
    <row r="15" spans="1:2" x14ac:dyDescent="0.25">
      <c r="A15" s="4" t="s">
        <v>330</v>
      </c>
      <c r="B15" s="14">
        <f>Historicals!$F$16</f>
        <v>2300000</v>
      </c>
    </row>
    <row r="16" spans="1:2" x14ac:dyDescent="0.25">
      <c r="A16" s="4" t="s">
        <v>78</v>
      </c>
      <c r="B16" s="15">
        <v>0.25</v>
      </c>
    </row>
    <row r="18" spans="1:7" x14ac:dyDescent="0.25">
      <c r="A18" s="5" t="s">
        <v>331</v>
      </c>
      <c r="B18" s="5"/>
      <c r="C18" s="5"/>
      <c r="D18" s="5"/>
      <c r="E18" s="5"/>
      <c r="F18" s="5"/>
      <c r="G18" s="5"/>
    </row>
    <row r="19" spans="1:7" x14ac:dyDescent="0.25">
      <c r="A19" s="6" t="s">
        <v>208</v>
      </c>
      <c r="B19" s="12" t="s">
        <v>332</v>
      </c>
      <c r="C19" s="12" t="s">
        <v>86</v>
      </c>
      <c r="D19" s="12" t="s">
        <v>87</v>
      </c>
      <c r="E19" s="12" t="s">
        <v>88</v>
      </c>
      <c r="F19" s="12" t="s">
        <v>89</v>
      </c>
      <c r="G19" s="12" t="s">
        <v>90</v>
      </c>
    </row>
    <row r="20" spans="1:7" x14ac:dyDescent="0.25">
      <c r="A20" s="4" t="s">
        <v>51</v>
      </c>
      <c r="B20" s="17">
        <f>$B$6</f>
        <v>13100000</v>
      </c>
      <c r="C20" s="17">
        <f>B20*(1+$B$7)</f>
        <v>14724400.000000002</v>
      </c>
      <c r="D20" s="17">
        <f>C20*(1+$B$7)</f>
        <v>16550225.600000003</v>
      </c>
      <c r="E20" s="17">
        <f>D20*(1+$B$7)</f>
        <v>18602453.574400004</v>
      </c>
      <c r="F20" s="17">
        <f>E20*(1+$B$7)</f>
        <v>20909157.81762561</v>
      </c>
      <c r="G20" s="17">
        <f>F20*(1+$B$7)</f>
        <v>23501893.387011185</v>
      </c>
    </row>
    <row r="21" spans="1:7" x14ac:dyDescent="0.25">
      <c r="A21" s="4" t="s">
        <v>333</v>
      </c>
      <c r="C21" s="17">
        <f>C20*$B$8</f>
        <v>6287318.800000002</v>
      </c>
      <c r="D21" s="17">
        <f>D20*$B$8</f>
        <v>7066946.331200002</v>
      </c>
      <c r="E21" s="17">
        <f>E20*$B$8</f>
        <v>7943247.676268803</v>
      </c>
      <c r="F21" s="17">
        <f>F20*$B$8</f>
        <v>8928210.388126135</v>
      </c>
      <c r="G21" s="17">
        <f>G20*$B$8</f>
        <v>10035308.476253778</v>
      </c>
    </row>
    <row r="22" spans="1:7" x14ac:dyDescent="0.25">
      <c r="A22" s="4" t="s">
        <v>334</v>
      </c>
      <c r="C22" s="17">
        <f>C20*$B$9</f>
        <v>2915431.2000000007</v>
      </c>
      <c r="D22" s="17">
        <f>D20*$B$9</f>
        <v>3276944.668800001</v>
      </c>
      <c r="E22" s="17">
        <f>E20*$B$9</f>
        <v>3683285.807731201</v>
      </c>
      <c r="F22" s="17">
        <f>F20*$B$9</f>
        <v>4140013.247889871</v>
      </c>
      <c r="G22" s="17">
        <f>G20*$B$9</f>
        <v>4653374.890628215</v>
      </c>
    </row>
    <row r="23" spans="1:7" x14ac:dyDescent="0.25">
      <c r="A23" s="7" t="s">
        <v>55</v>
      </c>
      <c r="C23" s="18">
        <f>C21-C22</f>
        <v>3371887.600000001</v>
      </c>
      <c r="D23" s="18">
        <f>D21-D22</f>
        <v>3790001.6624000007</v>
      </c>
      <c r="E23" s="18">
        <f>E21-E22</f>
        <v>4259961.868537602</v>
      </c>
      <c r="F23" s="18">
        <f>F21-F22</f>
        <v>4788197.140236264</v>
      </c>
      <c r="G23" s="18">
        <f>G21-G22</f>
        <v>5381933.585625563</v>
      </c>
    </row>
    <row r="24" spans="1:7" x14ac:dyDescent="0.25">
      <c r="A24" s="4" t="s">
        <v>91</v>
      </c>
      <c r="C24" s="17">
        <f>C20*$B$10</f>
        <v>500629.6000000001</v>
      </c>
      <c r="D24" s="17">
        <f>D20*$B$10</f>
        <v>562707.6704000002</v>
      </c>
      <c r="E24" s="17">
        <f>E20*$B$10</f>
        <v>632483.4215296002</v>
      </c>
      <c r="F24" s="17">
        <f>F20*$B$10</f>
        <v>710911.3657992707</v>
      </c>
      <c r="G24" s="17">
        <f>G20*$B$10</f>
        <v>799064.3751583804</v>
      </c>
    </row>
    <row r="25" spans="1:7" x14ac:dyDescent="0.25">
      <c r="A25" s="4" t="s">
        <v>57</v>
      </c>
      <c r="C25" s="17">
        <f>C23-C24</f>
        <v>2871258.000000001</v>
      </c>
      <c r="D25" s="17">
        <f>D23-D24</f>
        <v>3227293.9920000006</v>
      </c>
      <c r="E25" s="17">
        <f>E23-E24</f>
        <v>3627478.4470080016</v>
      </c>
      <c r="F25" s="17">
        <f>F23-F24</f>
        <v>4077285.7744369935</v>
      </c>
      <c r="G25" s="17">
        <f>G23-G24</f>
        <v>4582869.210467182</v>
      </c>
    </row>
    <row r="26" spans="1:7" x14ac:dyDescent="0.25">
      <c r="A26" s="4" t="s">
        <v>335</v>
      </c>
      <c r="C26" s="17">
        <f>B32*$B$14</f>
        <v>140800</v>
      </c>
      <c r="D26" s="17">
        <f>C32*$B$14</f>
        <v>126720</v>
      </c>
      <c r="E26" s="17">
        <f>D32*$B$14</f>
        <v>112640</v>
      </c>
      <c r="F26" s="17">
        <f>E32*$B$14</f>
        <v>98560</v>
      </c>
      <c r="G26" s="17">
        <f>F32*$B$14</f>
        <v>84480</v>
      </c>
    </row>
    <row r="27" spans="1:7" x14ac:dyDescent="0.25">
      <c r="A27" s="4" t="s">
        <v>336</v>
      </c>
      <c r="C27" s="17">
        <f>C25-C26</f>
        <v>2730458.000000001</v>
      </c>
      <c r="D27" s="17">
        <f>D25-D26</f>
        <v>3100573.9920000006</v>
      </c>
      <c r="E27" s="17">
        <f>E25-E26</f>
        <v>3514838.4470080016</v>
      </c>
      <c r="F27" s="17">
        <f>F25-F26</f>
        <v>3978725.7744369935</v>
      </c>
      <c r="G27" s="17">
        <f>G25-G26</f>
        <v>4498389.210467182</v>
      </c>
    </row>
    <row r="28" spans="1:7" x14ac:dyDescent="0.25">
      <c r="A28" s="4" t="s">
        <v>211</v>
      </c>
      <c r="C28" s="17">
        <f>MAX(0,C27*$B$16)</f>
        <v>682614.5000000002</v>
      </c>
      <c r="D28" s="17">
        <f>MAX(0,D27*$B$16)</f>
        <v>775143.4980000001</v>
      </c>
      <c r="E28" s="17">
        <f>MAX(0,E27*$B$16)</f>
        <v>878709.6117520004</v>
      </c>
      <c r="F28" s="17">
        <f>MAX(0,F27*$B$16)</f>
        <v>994681.4436092484</v>
      </c>
      <c r="G28" s="17">
        <f>MAX(0,G27*$B$16)</f>
        <v>1124597.3026167955</v>
      </c>
    </row>
    <row r="29" spans="1:7" x14ac:dyDescent="0.25">
      <c r="A29" s="7" t="s">
        <v>113</v>
      </c>
      <c r="C29" s="18">
        <f>C27-C28</f>
        <v>2047843.5000000007</v>
      </c>
      <c r="D29" s="18">
        <f>D27-D28</f>
        <v>2325430.4940000004</v>
      </c>
      <c r="E29" s="18">
        <f>E27-E28</f>
        <v>2636128.835256001</v>
      </c>
      <c r="F29" s="18">
        <f>F27-F28</f>
        <v>2984044.330827745</v>
      </c>
      <c r="G29" s="18">
        <f>G27-G28</f>
        <v>3373791.9078503866</v>
      </c>
    </row>
    <row r="30" spans="1:7" x14ac:dyDescent="0.25">
      <c r="A30" s="4" t="s">
        <v>94</v>
      </c>
      <c r="C30" s="17">
        <f>C20*$B$11</f>
        <v>898188.4000000001</v>
      </c>
      <c r="D30" s="17">
        <f>D20*$B$11</f>
        <v>1009563.7616000002</v>
      </c>
      <c r="E30" s="17">
        <f>E20*$B$11</f>
        <v>1134749.6680384001</v>
      </c>
      <c r="F30" s="17">
        <f>F20*$B$11</f>
        <v>1275458.6268751621</v>
      </c>
      <c r="G30" s="17">
        <f>G20*$B$11</f>
        <v>1433615.4966076822</v>
      </c>
    </row>
    <row r="31" spans="1:7" x14ac:dyDescent="0.25">
      <c r="A31" s="4" t="s">
        <v>213</v>
      </c>
      <c r="C31" s="17">
        <f>MIN(B32,$B$13)</f>
        <v>220000</v>
      </c>
      <c r="D31" s="17">
        <f>MIN(C32,$B$13)</f>
        <v>220000</v>
      </c>
      <c r="E31" s="17">
        <f>MIN(D32,$B$13)</f>
        <v>220000</v>
      </c>
      <c r="F31" s="17">
        <f>MIN(E32,$B$13)</f>
        <v>220000</v>
      </c>
      <c r="G31" s="17">
        <f>MIN(F32,$B$13)</f>
        <v>220000</v>
      </c>
    </row>
    <row r="32" spans="1:7" x14ac:dyDescent="0.25">
      <c r="A32" s="4" t="s">
        <v>337</v>
      </c>
      <c r="B32" s="17">
        <f>$B$12</f>
        <v>2200000</v>
      </c>
      <c r="C32" s="17">
        <f>B32-C31</f>
        <v>1980000</v>
      </c>
      <c r="D32" s="17">
        <f>C32-D31</f>
        <v>1760000</v>
      </c>
      <c r="E32" s="17">
        <f>D32-E31</f>
        <v>1540000</v>
      </c>
      <c r="F32" s="17">
        <f>E32-F31</f>
        <v>1320000</v>
      </c>
      <c r="G32" s="17">
        <f>F32-G31</f>
        <v>1100000</v>
      </c>
    </row>
    <row r="33" spans="1:7" x14ac:dyDescent="0.25">
      <c r="A33" s="7" t="s">
        <v>338</v>
      </c>
      <c r="B33" s="17">
        <f>$B$15</f>
        <v>2300000</v>
      </c>
      <c r="C33" s="18">
        <f>B33+C29+C24-C30-C31</f>
        <v>3730284.700000001</v>
      </c>
      <c r="D33" s="18">
        <f>C33+D29+D24-D30-D31</f>
        <v>5388859.102800002</v>
      </c>
      <c r="E33" s="18">
        <f>D33+E29+E24-E30-E31</f>
        <v>7302721.691547204</v>
      </c>
      <c r="F33" s="18">
        <f>E33+F29+F24-F30-F31</f>
        <v>9502218.761299057</v>
      </c>
      <c r="G33" s="18">
        <f>F33+G29+G24-G30-G31</f>
        <v>12021459.547700142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Historicals</vt:lpstr>
      <vt:lpstr>DCF</vt:lpstr>
      <vt:lpstr>Comps</vt:lpstr>
      <vt:lpstr>WACC</vt:lpstr>
      <vt:lpstr>MonteCarlo</vt:lpstr>
      <vt:lpstr>LBO</vt:lpstr>
      <vt:lpstr>Loan</vt:lpstr>
      <vt:lpstr>NPV_IRR</vt:lpstr>
      <vt:lpstr>Breakeven</vt:lpstr>
      <vt:lpstr>Feasibility</vt:lpstr>
      <vt:lpstr>Ratios</vt:lpstr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2026-10-29T16:47:46Z</dcterms:created>
  <dcterms:modified xsi:type="dcterms:W3CDTF">2026-10-29T16:47:46Z</dcterms:modified>
</cp:coreProperties>
</file>